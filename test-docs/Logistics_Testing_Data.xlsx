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gistics_Orders" sheetId="2" state="visible" r:id="rId2"/>
    <sheet xmlns:r="http://schemas.openxmlformats.org/officeDocument/2006/relationships" name="Lookups" sheetId="3" state="visible" r:id="rId3"/>
  </sheets>
  <definedNames>
    <definedName name="_xlnm._FilterDatabase" localSheetId="1" hidden="1">'Logistics_Orders'!$A$1:$Y$1001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LogisticsOrders" displayName="LogisticsOrders" ref="A1:Y1001" headerRowCount="1">
  <autoFilter ref="A1:Y1001"/>
  <tableColumns count="25">
    <tableColumn id="1" name="Order_ID"/>
    <tableColumn id="2" name="Customer_ID"/>
    <tableColumn id="3" name="Order_Date"/>
    <tableColumn id="4" name="Promised_Date"/>
    <tableColumn id="5" name="Delivery_Date"/>
    <tableColumn id="6" name="Origin"/>
    <tableColumn id="7" name="Destination"/>
    <tableColumn id="8" name="Carrier"/>
    <tableColumn id="9" name="Vehicle_Type"/>
    <tableColumn id="10" name="Priority"/>
    <tableColumn id="11" name="Shipment_Status"/>
    <tableColumn id="12" name="Weight_KG"/>
    <tableColumn id="13" name="Distance_KM"/>
    <tableColumn id="14" name="Freight_Rate"/>
    <tableColumn id="15" name="Fuel_Surcharge"/>
    <tableColumn id="16" name="Handling_Fee"/>
    <tableColumn id="17" name="Total_Cost"/>
    <tableColumn id="18" name="On_Time"/>
    <tableColumn id="19" name="Delay_Days"/>
    <tableColumn id="20" name="Temperature_Controlled"/>
    <tableColumn id="21" name="Package_Count"/>
    <tableColumn id="22" name="Payment_Status"/>
    <tableColumn id="23" name="Customer_Rating"/>
    <tableColumn id="24" name="Exception_Code"/>
    <tableColumn id="25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Complex Domain Testing Workbook</t>
        </is>
      </c>
      <c r="B1" t="inlineStr">
        <is>
          <t>Logistics + Medical + HR</t>
        </is>
      </c>
    </row>
    <row r="2">
      <c r="A2" t="inlineStr">
        <is>
          <t>Purpose</t>
        </is>
      </c>
      <c r="B2" t="inlineStr">
        <is>
          <t>Synthetic Logistics Orders testing dataset</t>
        </is>
      </c>
    </row>
    <row r="3">
      <c r="A3" t="inlineStr">
        <is>
          <t>Rows</t>
        </is>
      </c>
      <c r="B3" t="inlineStr">
        <is>
          <t>1,000 records</t>
        </is>
      </c>
    </row>
    <row r="4">
      <c r="A4" t="inlineStr">
        <is>
          <t>Use</t>
        </is>
      </c>
      <c r="B4" t="inlineStr">
        <is>
          <t>Excel/import/API/ETL/reporting/validation testing</t>
        </is>
      </c>
    </row>
    <row r="5">
      <c r="A5" t="inlineStr">
        <is>
          <t>Testing features</t>
        </is>
      </c>
      <c r="B5" t="inlineStr">
        <is>
          <t>IDs, dates, status fields, amounts, formulas, duplicates, blanks, boundary values, inconsistent text</t>
        </is>
      </c>
    </row>
    <row r="6">
      <c r="A6" t="inlineStr">
        <is>
          <t>Privacy</t>
        </is>
      </c>
      <c r="B6" t="inlineStr">
        <is>
          <t>All names/records are synthetic; no real patient or employee data</t>
        </is>
      </c>
    </row>
    <row r="7">
      <c r="A7" t="inlineStr">
        <is>
          <t>Suggested tests</t>
        </is>
      </c>
      <c r="B7" t="inlineStr">
        <is>
          <t>Filtering, sorting, formulas, joins, duplicate detection, date validation, status transitions, null handling, CSV export/import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5" customWidth="1" min="4" max="4"/>
    <col width="15" customWidth="1" min="5" max="5"/>
    <col width="11" customWidth="1" min="6" max="6"/>
    <col width="13" customWidth="1" min="7" max="7"/>
    <col width="11" customWidth="1" min="8" max="8"/>
    <col width="20" customWidth="1" min="9" max="9"/>
    <col width="10" customWidth="1" min="10" max="10"/>
    <col width="17" customWidth="1" min="11" max="11"/>
    <col width="11" customWidth="1" min="12" max="12"/>
    <col width="13" customWidth="1" min="13" max="13"/>
    <col width="14" customWidth="1" min="14" max="14"/>
    <col width="16" customWidth="1" min="15" max="15"/>
    <col width="14" customWidth="1" min="16" max="16"/>
    <col width="12" customWidth="1" min="17" max="17"/>
    <col width="10" customWidth="1" min="18" max="18"/>
    <col width="12" customWidth="1" min="19" max="19"/>
    <col width="24" customWidth="1" min="20" max="20"/>
    <col width="15" customWidth="1" min="21" max="21"/>
    <col width="16" customWidth="1" min="22" max="22"/>
    <col width="17" customWidth="1" min="23" max="23"/>
    <col width="22" customWidth="1" min="24" max="24"/>
    <col width="21" customWidth="1" min="25" max="25"/>
  </cols>
  <sheetData>
    <row r="1">
      <c r="A1" s="2" t="inlineStr">
        <is>
          <t>Order_ID</t>
        </is>
      </c>
      <c r="B1" s="2" t="inlineStr">
        <is>
          <t>Customer_ID</t>
        </is>
      </c>
      <c r="C1" s="2" t="inlineStr">
        <is>
          <t>Order_Date</t>
        </is>
      </c>
      <c r="D1" s="2" t="inlineStr">
        <is>
          <t>Promised_Date</t>
        </is>
      </c>
      <c r="E1" s="2" t="inlineStr">
        <is>
          <t>Delivery_Date</t>
        </is>
      </c>
      <c r="F1" s="2" t="inlineStr">
        <is>
          <t>Origin</t>
        </is>
      </c>
      <c r="G1" s="2" t="inlineStr">
        <is>
          <t>Destination</t>
        </is>
      </c>
      <c r="H1" s="2" t="inlineStr">
        <is>
          <t>Carrier</t>
        </is>
      </c>
      <c r="I1" s="2" t="inlineStr">
        <is>
          <t>Vehicle_Type</t>
        </is>
      </c>
      <c r="J1" s="2" t="inlineStr">
        <is>
          <t>Priority</t>
        </is>
      </c>
      <c r="K1" s="2" t="inlineStr">
        <is>
          <t>Shipment_Status</t>
        </is>
      </c>
      <c r="L1" s="2" t="inlineStr">
        <is>
          <t>Weight_KG</t>
        </is>
      </c>
      <c r="M1" s="2" t="inlineStr">
        <is>
          <t>Distance_KM</t>
        </is>
      </c>
      <c r="N1" s="2" t="inlineStr">
        <is>
          <t>Freight_Rate</t>
        </is>
      </c>
      <c r="O1" s="2" t="inlineStr">
        <is>
          <t>Fuel_Surcharge</t>
        </is>
      </c>
      <c r="P1" s="2" t="inlineStr">
        <is>
          <t>Handling_Fee</t>
        </is>
      </c>
      <c r="Q1" s="2" t="inlineStr">
        <is>
          <t>Total_Cost</t>
        </is>
      </c>
      <c r="R1" s="2" t="inlineStr">
        <is>
          <t>On_Time</t>
        </is>
      </c>
      <c r="S1" s="2" t="inlineStr">
        <is>
          <t>Delay_Days</t>
        </is>
      </c>
      <c r="T1" s="2" t="inlineStr">
        <is>
          <t>Temperature_Controlled</t>
        </is>
      </c>
      <c r="U1" s="2" t="inlineStr">
        <is>
          <t>Package_Count</t>
        </is>
      </c>
      <c r="V1" s="2" t="inlineStr">
        <is>
          <t>Payment_Status</t>
        </is>
      </c>
      <c r="W1" s="2" t="inlineStr">
        <is>
          <t>Customer_Rating</t>
        </is>
      </c>
      <c r="X1" s="2" t="inlineStr">
        <is>
          <t>Exception_Code</t>
        </is>
      </c>
      <c r="Y1" s="2" t="inlineStr">
        <is>
          <t>Notes</t>
        </is>
      </c>
    </row>
    <row r="2">
      <c r="A2" t="inlineStr">
        <is>
          <t>ORD-2026-00001</t>
        </is>
      </c>
      <c r="B2" t="inlineStr">
        <is>
          <t>CUST-0109</t>
        </is>
      </c>
      <c r="C2" s="3" t="n">
        <v>46186</v>
      </c>
      <c r="D2" s="3" t="n">
        <v>46188</v>
      </c>
      <c r="E2" s="3" t="n">
        <v>46188</v>
      </c>
      <c r="F2" t="inlineStr">
        <is>
          <t>Ahmedabad</t>
        </is>
      </c>
      <c r="G2" t="inlineStr">
        <is>
          <t>Ahmedabad</t>
        </is>
      </c>
      <c r="H2" t="inlineStr">
        <is>
          <t>BlueDart</t>
        </is>
      </c>
      <c r="I2" t="inlineStr">
        <is>
          <t>Truck</t>
        </is>
      </c>
      <c r="J2" t="inlineStr">
        <is>
          <t>Normal</t>
        </is>
      </c>
      <c r="K2" t="inlineStr">
        <is>
          <t>Delivered</t>
        </is>
      </c>
      <c r="L2" t="n">
        <v>558.42</v>
      </c>
      <c r="M2" t="n">
        <v>424</v>
      </c>
      <c r="N2" t="n">
        <v>46.57</v>
      </c>
      <c r="O2" t="n">
        <v>921.04</v>
      </c>
      <c r="P2" t="n">
        <v>148.67</v>
      </c>
      <c r="Q2">
        <f>ROUND(L2*M2*N2/1000+O2+P2,2)</f>
        <v/>
      </c>
      <c r="R2" t="inlineStr">
        <is>
          <t>Yes</t>
        </is>
      </c>
      <c r="S2">
        <f>IF(OR(E2="",D2=""),"",MAX(0,E2-D2))</f>
        <v/>
      </c>
      <c r="T2" t="inlineStr">
        <is>
          <t>Yes</t>
        </is>
      </c>
      <c r="U2" t="n">
        <v>72</v>
      </c>
      <c r="V2" t="inlineStr">
        <is>
          <t>Pending</t>
        </is>
      </c>
      <c r="W2" t="n">
        <v>5</v>
      </c>
      <c r="X2" t="inlineStr">
        <is>
          <t>Weather</t>
        </is>
      </c>
      <c r="Y2" t="inlineStr">
        <is>
          <t>Synthetic edge case</t>
        </is>
      </c>
    </row>
    <row r="3">
      <c r="A3" t="inlineStr">
        <is>
          <t>ORD-2026-00002</t>
        </is>
      </c>
      <c r="B3" t="inlineStr">
        <is>
          <t>CUST-0246</t>
        </is>
      </c>
      <c r="C3" s="3" t="n">
        <v>46079</v>
      </c>
      <c r="D3" s="3" t="n">
        <v>46087</v>
      </c>
      <c r="E3" s="3" t="n">
        <v>46088</v>
      </c>
      <c r="F3" t="inlineStr">
        <is>
          <t>Hyderabad</t>
        </is>
      </c>
      <c r="G3" t="inlineStr">
        <is>
          <t>Mumbai</t>
        </is>
      </c>
      <c r="H3" t="inlineStr">
        <is>
          <t>BlueDart</t>
        </is>
      </c>
      <c r="I3" t="inlineStr">
        <is>
          <t>Container</t>
        </is>
      </c>
      <c r="J3" t="inlineStr">
        <is>
          <t>Low</t>
        </is>
      </c>
      <c r="K3" t="inlineStr">
        <is>
          <t>Delivered</t>
        </is>
      </c>
      <c r="L3" t="n">
        <v>0</v>
      </c>
      <c r="M3" t="n">
        <v>658</v>
      </c>
      <c r="N3" t="n">
        <v>47.79</v>
      </c>
      <c r="O3" t="n">
        <v>26.54</v>
      </c>
      <c r="P3" t="n">
        <v>250.11</v>
      </c>
      <c r="Q3">
        <f>ROUND(L3*M3*N3/1000+O3+P3,2)</f>
        <v/>
      </c>
      <c r="R3" t="inlineStr">
        <is>
          <t>No</t>
        </is>
      </c>
      <c r="S3">
        <f>IF(OR(E3="",D3=""),"",MAX(0,E3-D3))</f>
        <v/>
      </c>
      <c r="T3" t="inlineStr">
        <is>
          <t>No</t>
        </is>
      </c>
      <c r="U3" t="n">
        <v>45</v>
      </c>
      <c r="V3" t="inlineStr">
        <is>
          <t>COD</t>
        </is>
      </c>
      <c r="W3" t="n">
        <v>1</v>
      </c>
      <c r="X3" t="inlineStr">
        <is>
          <t>Damaged Package</t>
        </is>
      </c>
    </row>
    <row r="4">
      <c r="A4" t="inlineStr">
        <is>
          <t>ORD-2026-00003</t>
        </is>
      </c>
      <c r="B4" t="inlineStr">
        <is>
          <t>CUST-0181</t>
        </is>
      </c>
      <c r="C4" s="3" t="n">
        <v>46140</v>
      </c>
      <c r="D4" s="3" t="n">
        <v>46142</v>
      </c>
      <c r="E4" s="3" t="n">
        <v>46152</v>
      </c>
      <c r="F4" t="inlineStr">
        <is>
          <t>Mumbai</t>
        </is>
      </c>
      <c r="G4" t="inlineStr">
        <is>
          <t>Ahmedabad</t>
        </is>
      </c>
      <c r="H4" t="inlineStr">
        <is>
          <t>Maersk</t>
        </is>
      </c>
      <c r="I4" t="inlineStr">
        <is>
          <t>Truck</t>
        </is>
      </c>
      <c r="J4" t="inlineStr">
        <is>
          <t>High</t>
        </is>
      </c>
      <c r="K4" t="inlineStr">
        <is>
          <t>Delivered</t>
        </is>
      </c>
      <c r="L4" t="n">
        <v>1380.33</v>
      </c>
      <c r="M4" t="n">
        <v>-10</v>
      </c>
      <c r="N4" t="n">
        <v>43.26</v>
      </c>
      <c r="O4" t="n">
        <v>12582.17</v>
      </c>
      <c r="P4" t="n">
        <v>874.48</v>
      </c>
      <c r="Q4">
        <f>ROUND(L4*M4*N4/1000+O4+P4,2)</f>
        <v/>
      </c>
      <c r="R4" t="inlineStr">
        <is>
          <t>No</t>
        </is>
      </c>
      <c r="S4">
        <f>IF(OR(E4="",D4=""),"",MAX(0,E4-D4))</f>
        <v/>
      </c>
      <c r="T4" t="inlineStr">
        <is>
          <t>Yes</t>
        </is>
      </c>
      <c r="U4" t="n">
        <v>30</v>
      </c>
      <c r="V4" t="inlineStr">
        <is>
          <t>Paid</t>
        </is>
      </c>
      <c r="W4" t="n">
        <v>4</v>
      </c>
      <c r="X4" t="inlineStr">
        <is>
          <t>Vehicle Breakdown</t>
        </is>
      </c>
    </row>
    <row r="5">
      <c r="A5" t="inlineStr">
        <is>
          <t>ORD-2026-00004</t>
        </is>
      </c>
      <c r="B5" t="inlineStr">
        <is>
          <t>CUST-0063</t>
        </is>
      </c>
      <c r="C5" s="3" t="n">
        <v>46139</v>
      </c>
      <c r="D5" s="3" t="n">
        <v>46145</v>
      </c>
      <c r="E5" s="3" t="n">
        <v>46145</v>
      </c>
      <c r="F5" t="inlineStr">
        <is>
          <t>Delhi</t>
        </is>
      </c>
      <c r="G5" t="inlineStr">
        <is>
          <t>Jaipur</t>
        </is>
      </c>
      <c r="H5" t="inlineStr">
        <is>
          <t>Delhivery</t>
        </is>
      </c>
      <c r="I5" t="inlineStr">
        <is>
          <t>Refrigerated Truck</t>
        </is>
      </c>
      <c r="J5" t="inlineStr">
        <is>
          <t>Normal</t>
        </is>
      </c>
      <c r="K5" t="inlineStr">
        <is>
          <t>Delivered</t>
        </is>
      </c>
      <c r="L5" t="n">
        <v>1675.6</v>
      </c>
      <c r="M5" t="n">
        <v>2659</v>
      </c>
      <c r="N5" t="n">
        <v>12.07</v>
      </c>
      <c r="O5" t="n">
        <v>3662.14</v>
      </c>
      <c r="P5" t="n">
        <v>810.53</v>
      </c>
      <c r="Q5">
        <f>ROUND(L5*M5*N5/1000+O5+P5,2)</f>
        <v/>
      </c>
      <c r="R5" t="inlineStr">
        <is>
          <t>Yes</t>
        </is>
      </c>
      <c r="S5">
        <f>IF(OR(E5="",D5=""),"",MAX(0,E5-D5))</f>
        <v/>
      </c>
      <c r="T5" t="inlineStr">
        <is>
          <t>No</t>
        </is>
      </c>
      <c r="U5" t="n">
        <v>8</v>
      </c>
      <c r="V5" t="inlineStr">
        <is>
          <t>Pending</t>
        </is>
      </c>
      <c r="W5" t="n">
        <v>1</v>
      </c>
      <c r="X5" t="inlineStr">
        <is>
          <t>Address Error</t>
        </is>
      </c>
    </row>
    <row r="6">
      <c r="A6" t="inlineStr">
        <is>
          <t>ORD-2026-00005</t>
        </is>
      </c>
      <c r="B6" t="inlineStr">
        <is>
          <t>CUST-0165</t>
        </is>
      </c>
      <c r="C6" s="3" t="n">
        <v>46103</v>
      </c>
      <c r="D6" s="3" t="n">
        <v>46110</v>
      </c>
      <c r="E6" s="3" t="n">
        <v>46110</v>
      </c>
      <c r="F6" t="inlineStr">
        <is>
          <t>Jaipur</t>
        </is>
      </c>
      <c r="G6" t="inlineStr">
        <is>
          <t>Delhi</t>
        </is>
      </c>
      <c r="H6" t="inlineStr">
        <is>
          <t>FedEx</t>
        </is>
      </c>
      <c r="I6" t="inlineStr">
        <is>
          <t>Truck</t>
        </is>
      </c>
      <c r="J6" t="inlineStr">
        <is>
          <t>Normal</t>
        </is>
      </c>
      <c r="K6" t="inlineStr">
        <is>
          <t>Delivered</t>
        </is>
      </c>
      <c r="L6" t="n">
        <v>2357.3</v>
      </c>
      <c r="M6" t="n">
        <v>1293</v>
      </c>
      <c r="N6" t="n">
        <v>20.12</v>
      </c>
      <c r="O6" t="n">
        <v>3676.7</v>
      </c>
      <c r="P6" t="n">
        <v>1329.33</v>
      </c>
      <c r="Q6">
        <f>ROUND(L6*M6*N6/1000+O6+P6,2)</f>
        <v/>
      </c>
      <c r="R6" t="inlineStr">
        <is>
          <t>Maybe</t>
        </is>
      </c>
      <c r="S6">
        <f>IF(OR(E6="",D6=""),"",MAX(0,E6-D6))</f>
        <v/>
      </c>
      <c r="T6" t="inlineStr">
        <is>
          <t>No</t>
        </is>
      </c>
      <c r="U6" t="n">
        <v>75</v>
      </c>
      <c r="V6" t="inlineStr">
        <is>
          <t>Failed</t>
        </is>
      </c>
      <c r="W6" t="n">
        <v>5</v>
      </c>
      <c r="X6" t="inlineStr">
        <is>
          <t>Weather</t>
        </is>
      </c>
    </row>
    <row r="7">
      <c r="A7" t="inlineStr">
        <is>
          <t>ORD-2026-00006</t>
        </is>
      </c>
      <c r="B7" t="inlineStr">
        <is>
          <t>CUST-0175</t>
        </is>
      </c>
      <c r="C7" s="3" t="n">
        <v>46115</v>
      </c>
      <c r="D7" s="3" t="n">
        <v>46119</v>
      </c>
      <c r="E7" s="3" t="n">
        <v>46129</v>
      </c>
      <c r="F7" t="inlineStr">
        <is>
          <t>Chennai</t>
        </is>
      </c>
      <c r="G7" t="inlineStr">
        <is>
          <t>Kolkata</t>
        </is>
      </c>
      <c r="H7" t="inlineStr">
        <is>
          <t>BlueDart</t>
        </is>
      </c>
      <c r="I7" t="inlineStr">
        <is>
          <t>Container</t>
        </is>
      </c>
      <c r="J7" t="inlineStr">
        <is>
          <t>Critical</t>
        </is>
      </c>
      <c r="K7" t="inlineStr">
        <is>
          <t>Delivered</t>
        </is>
      </c>
      <c r="L7" t="n">
        <v>1234.04</v>
      </c>
      <c r="M7" t="n">
        <v>197</v>
      </c>
      <c r="N7" t="n">
        <v>57.08</v>
      </c>
      <c r="O7" t="n">
        <v>543.55</v>
      </c>
      <c r="P7" t="n">
        <v>256.77</v>
      </c>
      <c r="Q7">
        <f>ROUND(L7*M7*N7/1000+O7+P7,2)</f>
        <v/>
      </c>
      <c r="R7" t="inlineStr">
        <is>
          <t>No</t>
        </is>
      </c>
      <c r="S7">
        <f>IF(OR(E7="",D7=""),"",MAX(0,E7-D7))</f>
        <v/>
      </c>
      <c r="T7" t="inlineStr">
        <is>
          <t>No</t>
        </is>
      </c>
      <c r="U7" t="n">
        <v>68</v>
      </c>
      <c r="V7" t="inlineStr">
        <is>
          <t>COD</t>
        </is>
      </c>
      <c r="W7" t="n">
        <v>5</v>
      </c>
      <c r="X7" t="inlineStr">
        <is>
          <t>Customer Unavailable</t>
        </is>
      </c>
    </row>
    <row r="8">
      <c r="A8" t="inlineStr">
        <is>
          <t>ORD-2026-00007</t>
        </is>
      </c>
      <c r="B8" t="inlineStr">
        <is>
          <t>CUST-0001</t>
        </is>
      </c>
      <c r="C8" s="3" t="n">
        <v>46025</v>
      </c>
      <c r="D8" s="3" t="n">
        <v>46027</v>
      </c>
      <c r="E8" s="3" t="n">
        <v>46028</v>
      </c>
      <c r="F8" t="inlineStr">
        <is>
          <t>Pune</t>
        </is>
      </c>
      <c r="G8" t="inlineStr">
        <is>
          <t>Surat</t>
        </is>
      </c>
      <c r="H8" t="inlineStr">
        <is>
          <t>Aramex</t>
        </is>
      </c>
      <c r="I8" t="inlineStr">
        <is>
          <t>Truck</t>
        </is>
      </c>
      <c r="J8" t="inlineStr">
        <is>
          <t>Low</t>
        </is>
      </c>
      <c r="K8" t="inlineStr">
        <is>
          <t>Delivered</t>
        </is>
      </c>
      <c r="L8" t="n">
        <v>667.4299999999999</v>
      </c>
      <c r="M8" t="n">
        <v>2630</v>
      </c>
      <c r="N8" t="n">
        <v>27.39</v>
      </c>
      <c r="O8" t="n">
        <v>2289.03</v>
      </c>
      <c r="P8" t="n">
        <v>254.07</v>
      </c>
      <c r="Q8">
        <f>ROUND(L8*M8*N8/1000+O8+P8,2)</f>
        <v/>
      </c>
      <c r="R8" t="inlineStr">
        <is>
          <t>No</t>
        </is>
      </c>
      <c r="S8">
        <f>IF(OR(E8="",D8=""),"",MAX(0,E8-D8))</f>
        <v/>
      </c>
      <c r="T8" t="inlineStr">
        <is>
          <t>No</t>
        </is>
      </c>
      <c r="U8" t="n">
        <v>65</v>
      </c>
      <c r="V8" t="inlineStr">
        <is>
          <t>Pending</t>
        </is>
      </c>
      <c r="W8" t="n">
        <v>2</v>
      </c>
      <c r="X8" t="inlineStr">
        <is>
          <t>Vehicle Breakdown</t>
        </is>
      </c>
    </row>
    <row r="9">
      <c r="A9" t="inlineStr">
        <is>
          <t>ORD-2026-00008</t>
        </is>
      </c>
      <c r="B9" t="inlineStr">
        <is>
          <t>CUST-0093</t>
        </is>
      </c>
      <c r="C9" s="3" t="n">
        <v>46218</v>
      </c>
      <c r="D9" s="3" t="n">
        <v>46221</v>
      </c>
      <c r="E9" s="3" t="n">
        <v>46221</v>
      </c>
      <c r="F9" t="inlineStr">
        <is>
          <t>Pune</t>
        </is>
      </c>
      <c r="G9" t="inlineStr">
        <is>
          <t>Bengaluru</t>
        </is>
      </c>
      <c r="H9" t="inlineStr">
        <is>
          <t>BlueDart</t>
        </is>
      </c>
      <c r="I9" t="inlineStr">
        <is>
          <t>Truck</t>
        </is>
      </c>
      <c r="J9" t="inlineStr">
        <is>
          <t>Low</t>
        </is>
      </c>
      <c r="K9" t="inlineStr">
        <is>
          <t>Delivered</t>
        </is>
      </c>
      <c r="L9" t="n">
        <v>1326.12</v>
      </c>
      <c r="M9" t="n">
        <v>7</v>
      </c>
      <c r="N9" t="n">
        <v>42.14</v>
      </c>
      <c r="O9" t="n">
        <v>23.2</v>
      </c>
      <c r="P9" t="n">
        <v>185.56</v>
      </c>
      <c r="Q9">
        <f>ROUND(L9*M9*N9/1000+O9+P9,2)</f>
        <v/>
      </c>
      <c r="R9" t="inlineStr">
        <is>
          <t>Yes</t>
        </is>
      </c>
      <c r="S9">
        <f>IF(OR(E9="",D9=""),"",MAX(0,E9-D9))</f>
        <v/>
      </c>
      <c r="T9" t="inlineStr">
        <is>
          <t>Yes</t>
        </is>
      </c>
      <c r="U9" t="n">
        <v>63</v>
      </c>
      <c r="V9" t="inlineStr">
        <is>
          <t>Paid</t>
        </is>
      </c>
      <c r="W9" t="n">
        <v>5</v>
      </c>
      <c r="X9" t="inlineStr">
        <is>
          <t>Customer Unavailable</t>
        </is>
      </c>
    </row>
    <row r="10">
      <c r="A10" t="inlineStr">
        <is>
          <t>ORD-2026-00009</t>
        </is>
      </c>
      <c r="B10" t="inlineStr">
        <is>
          <t>CUST-0139</t>
        </is>
      </c>
      <c r="C10" s="3" t="n">
        <v>46055</v>
      </c>
      <c r="D10" s="3" t="n">
        <v>46058</v>
      </c>
      <c r="E10" s="3" t="n">
        <v>46059</v>
      </c>
      <c r="F10" t="inlineStr">
        <is>
          <t>Bengaluru</t>
        </is>
      </c>
      <c r="G10" t="inlineStr">
        <is>
          <t>Pune</t>
        </is>
      </c>
      <c r="H10" t="inlineStr">
        <is>
          <t>Delhivery</t>
        </is>
      </c>
      <c r="I10" t="inlineStr">
        <is>
          <t>Refrigerated Truck</t>
        </is>
      </c>
      <c r="J10" t="inlineStr">
        <is>
          <t>Critical</t>
        </is>
      </c>
      <c r="K10" t="inlineStr">
        <is>
          <t>Delivered</t>
        </is>
      </c>
      <c r="L10" t="n">
        <v>413.23</v>
      </c>
      <c r="M10" t="n">
        <v>2166</v>
      </c>
      <c r="N10" t="n">
        <v>57.73</v>
      </c>
      <c r="O10" t="n">
        <v>2862</v>
      </c>
      <c r="P10" t="n">
        <v>333.46</v>
      </c>
      <c r="Q10">
        <f>ROUND(L10*M10*N10/1000+O10+P10,2)</f>
        <v/>
      </c>
      <c r="R10" t="inlineStr">
        <is>
          <t>No</t>
        </is>
      </c>
      <c r="S10">
        <f>IF(OR(E10="",D10=""),"",MAX(0,E10-D10))</f>
        <v/>
      </c>
      <c r="T10" t="inlineStr">
        <is>
          <t>No</t>
        </is>
      </c>
      <c r="U10" t="n">
        <v>16</v>
      </c>
      <c r="V10" t="inlineStr">
        <is>
          <t>Pending</t>
        </is>
      </c>
      <c r="W10" t="n">
        <v>2</v>
      </c>
      <c r="X10" t="inlineStr">
        <is>
          <t>None</t>
        </is>
      </c>
    </row>
    <row r="11">
      <c r="A11" t="inlineStr">
        <is>
          <t>ORD-2026-00010</t>
        </is>
      </c>
      <c r="B11" t="inlineStr">
        <is>
          <t>CUST-0009</t>
        </is>
      </c>
      <c r="C11" s="3" t="n">
        <v>46109</v>
      </c>
      <c r="D11" s="3" t="n">
        <v>46110</v>
      </c>
      <c r="E11" s="3" t="n">
        <v>46111</v>
      </c>
      <c r="F11" t="inlineStr">
        <is>
          <t>Hyderabad</t>
        </is>
      </c>
      <c r="G11" t="inlineStr">
        <is>
          <t>Mumbai</t>
        </is>
      </c>
      <c r="H11" t="inlineStr">
        <is>
          <t>DTDC</t>
        </is>
      </c>
      <c r="I11" t="inlineStr">
        <is>
          <t>Truck</t>
        </is>
      </c>
      <c r="J11" t="inlineStr">
        <is>
          <t>High</t>
        </is>
      </c>
      <c r="K11" t="inlineStr">
        <is>
          <t>Delivered</t>
        </is>
      </c>
      <c r="L11" t="n">
        <v>550.9299999999999</v>
      </c>
      <c r="M11" t="n">
        <v>295</v>
      </c>
      <c r="N11" t="n">
        <v>48.35</v>
      </c>
      <c r="O11" t="n">
        <v>263.5</v>
      </c>
      <c r="P11" t="n">
        <v>119.75</v>
      </c>
      <c r="Q11">
        <f>ROUND(L11*M11*N11/1000+O11+P11,2)</f>
        <v/>
      </c>
      <c r="R11" t="inlineStr">
        <is>
          <t>No</t>
        </is>
      </c>
      <c r="S11">
        <f>IF(OR(E11="",D11=""),"",MAX(0,E11-D11))</f>
        <v/>
      </c>
      <c r="T11" t="inlineStr">
        <is>
          <t>No</t>
        </is>
      </c>
      <c r="U11" t="n">
        <v>28</v>
      </c>
      <c r="V11" t="inlineStr">
        <is>
          <t>Pending</t>
        </is>
      </c>
      <c r="W11" t="n">
        <v>5</v>
      </c>
      <c r="X11" t="inlineStr">
        <is>
          <t>Customs</t>
        </is>
      </c>
    </row>
    <row r="12">
      <c r="A12" t="inlineStr">
        <is>
          <t>ORD-2026-00011</t>
        </is>
      </c>
      <c r="B12" t="inlineStr">
        <is>
          <t>CUST-0222</t>
        </is>
      </c>
      <c r="C12" s="3" t="n">
        <v>46144</v>
      </c>
      <c r="D12" s="3" t="n">
        <v>46148</v>
      </c>
      <c r="E12" s="3" t="n">
        <v>46150</v>
      </c>
      <c r="F12" t="inlineStr">
        <is>
          <t>Ahmedabad</t>
        </is>
      </c>
      <c r="G12" t="inlineStr">
        <is>
          <t>Mumbai</t>
        </is>
      </c>
      <c r="H12" t="inlineStr">
        <is>
          <t>BlueDart</t>
        </is>
      </c>
      <c r="I12" t="inlineStr">
        <is>
          <t>Container</t>
        </is>
      </c>
      <c r="J12" t="inlineStr">
        <is>
          <t>High</t>
        </is>
      </c>
      <c r="K12" t="inlineStr">
        <is>
          <t>Delivered</t>
        </is>
      </c>
      <c r="L12" t="n">
        <v>476.43</v>
      </c>
      <c r="M12" t="n">
        <v>402</v>
      </c>
      <c r="N12" t="n">
        <v>45.56</v>
      </c>
      <c r="O12" t="n">
        <v>447.27</v>
      </c>
      <c r="P12" t="n">
        <v>628.4299999999999</v>
      </c>
      <c r="Q12">
        <f>ROUND(L12*M12*N12/1000+O12+P12,2)</f>
        <v/>
      </c>
      <c r="R12" t="inlineStr">
        <is>
          <t>No</t>
        </is>
      </c>
      <c r="S12">
        <f>IF(OR(E12="",D12=""),"",MAX(0,E12-D12))</f>
        <v/>
      </c>
      <c r="T12" t="inlineStr">
        <is>
          <t>Yes</t>
        </is>
      </c>
      <c r="U12" t="n">
        <v>32</v>
      </c>
      <c r="V12" t="inlineStr">
        <is>
          <t>Pending</t>
        </is>
      </c>
      <c r="W12" t="n">
        <v>2</v>
      </c>
      <c r="X12" t="inlineStr">
        <is>
          <t>Customs</t>
        </is>
      </c>
    </row>
    <row r="13">
      <c r="A13" t="inlineStr">
        <is>
          <t>ORD-2026-00012</t>
        </is>
      </c>
      <c r="B13" t="inlineStr">
        <is>
          <t>CUST-0013</t>
        </is>
      </c>
      <c r="C13" s="3" t="n">
        <v>46137</v>
      </c>
      <c r="D13" s="3" t="n">
        <v>46140</v>
      </c>
      <c r="E13" s="3" t="n">
        <v>46140</v>
      </c>
      <c r="F13" t="inlineStr">
        <is>
          <t>Surat</t>
        </is>
      </c>
      <c r="G13" t="inlineStr">
        <is>
          <t>Ahmedabad</t>
        </is>
      </c>
      <c r="H13" t="inlineStr">
        <is>
          <t>BlueDart</t>
        </is>
      </c>
      <c r="I13" t="inlineStr">
        <is>
          <t>Truck</t>
        </is>
      </c>
      <c r="J13" t="inlineStr">
        <is>
          <t>Normal</t>
        </is>
      </c>
      <c r="K13" t="inlineStr">
        <is>
          <t>Delivered</t>
        </is>
      </c>
      <c r="L13" t="n">
        <v>624.89</v>
      </c>
      <c r="M13" t="n">
        <v>313</v>
      </c>
      <c r="N13" t="n">
        <v>33.26</v>
      </c>
      <c r="O13" t="n">
        <v>531.36</v>
      </c>
      <c r="P13" t="n">
        <v>834.48</v>
      </c>
      <c r="Q13">
        <f>ROUND(L13*M13*N13/1000+O13+P13,2)</f>
        <v/>
      </c>
      <c r="R13" t="inlineStr">
        <is>
          <t>Yes</t>
        </is>
      </c>
      <c r="S13">
        <f>IF(OR(E13="",D13=""),"",MAX(0,E13-D13))</f>
        <v/>
      </c>
      <c r="T13" t="inlineStr">
        <is>
          <t>No</t>
        </is>
      </c>
      <c r="U13" t="n">
        <v>63</v>
      </c>
      <c r="V13" t="inlineStr">
        <is>
          <t>Failed</t>
        </is>
      </c>
      <c r="W13" t="n">
        <v>2</v>
      </c>
      <c r="X13" t="inlineStr">
        <is>
          <t>Customer Unavailable</t>
        </is>
      </c>
    </row>
    <row r="14">
      <c r="A14" t="inlineStr">
        <is>
          <t>ORD-2026-00013</t>
        </is>
      </c>
      <c r="B14" t="inlineStr">
        <is>
          <t>CUST-0201</t>
        </is>
      </c>
      <c r="C14" s="3" t="n">
        <v>46125</v>
      </c>
      <c r="D14" s="3" t="n">
        <v>46126</v>
      </c>
      <c r="E14" s="3" t="n"/>
      <c r="F14" t="inlineStr">
        <is>
          <t>Surat</t>
        </is>
      </c>
      <c r="G14" t="inlineStr">
        <is>
          <t>Jaipur</t>
        </is>
      </c>
      <c r="H14" t="inlineStr">
        <is>
          <t>DHL</t>
        </is>
      </c>
      <c r="I14" t="inlineStr">
        <is>
          <t>Truck</t>
        </is>
      </c>
      <c r="J14" t="inlineStr">
        <is>
          <t>High</t>
        </is>
      </c>
      <c r="K14" t="inlineStr">
        <is>
          <t>Exception</t>
        </is>
      </c>
      <c r="L14" t="n">
        <v>663.38</v>
      </c>
      <c r="M14" t="n">
        <v>1868</v>
      </c>
      <c r="N14" t="n">
        <v>24.26</v>
      </c>
      <c r="O14" t="n">
        <v>2158.38</v>
      </c>
      <c r="P14" t="n">
        <v>1101.15</v>
      </c>
      <c r="Q14">
        <f>ROUND(L14*M14*N14/1000+O14+P14,2)</f>
        <v/>
      </c>
      <c r="R14" t="inlineStr">
        <is>
          <t>No</t>
        </is>
      </c>
      <c r="S14">
        <f>IF(OR(E14="",D14=""),"",MAX(0,E14-D14))</f>
        <v/>
      </c>
      <c r="T14" t="inlineStr">
        <is>
          <t>Yes</t>
        </is>
      </c>
      <c r="U14" t="n">
        <v>8</v>
      </c>
      <c r="V14" t="inlineStr">
        <is>
          <t>Paid</t>
        </is>
      </c>
      <c r="W14" t="n">
        <v>3</v>
      </c>
      <c r="X14" t="inlineStr">
        <is>
          <t>None</t>
        </is>
      </c>
    </row>
    <row r="15">
      <c r="A15" t="inlineStr">
        <is>
          <t>ORD-2026-00014</t>
        </is>
      </c>
      <c r="B15" t="inlineStr">
        <is>
          <t>CUST-0173</t>
        </is>
      </c>
      <c r="C15" s="3" t="n">
        <v>46035</v>
      </c>
      <c r="D15" s="3" t="n">
        <v>46043</v>
      </c>
      <c r="E15" s="3" t="n">
        <v>46043</v>
      </c>
      <c r="F15" t="inlineStr">
        <is>
          <t>Bengaluru</t>
        </is>
      </c>
      <c r="G15" t="inlineStr">
        <is>
          <t>Chennai</t>
        </is>
      </c>
      <c r="H15" t="inlineStr">
        <is>
          <t>BlueDart</t>
        </is>
      </c>
      <c r="I15" t="inlineStr">
        <is>
          <t>Bike</t>
        </is>
      </c>
      <c r="J15" t="inlineStr">
        <is>
          <t>Normal</t>
        </is>
      </c>
      <c r="K15" t="inlineStr">
        <is>
          <t>Delivered</t>
        </is>
      </c>
      <c r="L15" t="n">
        <v>394</v>
      </c>
      <c r="M15" t="n">
        <v>2085</v>
      </c>
      <c r="N15" t="n">
        <v>12.57</v>
      </c>
      <c r="O15" t="n">
        <v>424.92</v>
      </c>
      <c r="P15" t="n">
        <v>900.65</v>
      </c>
      <c r="Q15">
        <f>ROUND(L15*M15*N15/1000+O15+P15,2)</f>
        <v/>
      </c>
      <c r="R15" t="inlineStr">
        <is>
          <t>Yes</t>
        </is>
      </c>
      <c r="S15">
        <f>IF(OR(E15="",D15=""),"",MAX(0,E15-D15))</f>
        <v/>
      </c>
      <c r="T15" t="inlineStr">
        <is>
          <t>Yes</t>
        </is>
      </c>
      <c r="U15" t="n">
        <v>80</v>
      </c>
      <c r="V15" t="inlineStr">
        <is>
          <t>Paid</t>
        </is>
      </c>
      <c r="W15" t="n">
        <v>4</v>
      </c>
      <c r="X15" t="inlineStr">
        <is>
          <t>Damaged Package</t>
        </is>
      </c>
    </row>
    <row r="16">
      <c r="A16" t="inlineStr">
        <is>
          <t>ORD-2026-00015</t>
        </is>
      </c>
      <c r="B16" t="inlineStr">
        <is>
          <t>CUST-0118</t>
        </is>
      </c>
      <c r="C16" s="3" t="n">
        <v>46172</v>
      </c>
      <c r="D16" s="3" t="n">
        <v>46178</v>
      </c>
      <c r="E16" s="3" t="n">
        <v>46183</v>
      </c>
      <c r="F16" t="inlineStr">
        <is>
          <t>Hyderabad</t>
        </is>
      </c>
      <c r="G16" t="inlineStr">
        <is>
          <t>Mumbai</t>
        </is>
      </c>
      <c r="H16" t="inlineStr">
        <is>
          <t>BlueDart</t>
        </is>
      </c>
      <c r="I16" t="inlineStr">
        <is>
          <t>Container</t>
        </is>
      </c>
      <c r="J16" t="inlineStr">
        <is>
          <t>Low</t>
        </is>
      </c>
      <c r="K16" t="inlineStr">
        <is>
          <t>Delivered</t>
        </is>
      </c>
      <c r="L16" t="n">
        <v>1790.62</v>
      </c>
      <c r="M16" t="n">
        <v>982</v>
      </c>
      <c r="N16" t="n">
        <v>23.14</v>
      </c>
      <c r="O16" t="n">
        <v>1540.19</v>
      </c>
      <c r="P16" t="n">
        <v>975.34</v>
      </c>
      <c r="Q16">
        <f>ROUND(L16*M16*N16/1000+O16+P16,2)</f>
        <v/>
      </c>
      <c r="R16" t="inlineStr">
        <is>
          <t>No</t>
        </is>
      </c>
      <c r="S16">
        <f>IF(OR(E16="",D16=""),"",MAX(0,E16-D16))</f>
        <v/>
      </c>
      <c r="T16" t="inlineStr">
        <is>
          <t>Yes</t>
        </is>
      </c>
      <c r="U16" t="n">
        <v>69</v>
      </c>
      <c r="V16" t="inlineStr">
        <is>
          <t>Pending</t>
        </is>
      </c>
      <c r="W16" t="n">
        <v>5</v>
      </c>
      <c r="X16" t="inlineStr">
        <is>
          <t>Vehicle Breakdown</t>
        </is>
      </c>
    </row>
    <row r="17">
      <c r="A17" t="inlineStr">
        <is>
          <t>ORD-2026-00016</t>
        </is>
      </c>
      <c r="B17" t="inlineStr">
        <is>
          <t>CUST-0207</t>
        </is>
      </c>
      <c r="C17" s="3" t="n">
        <v>46056</v>
      </c>
      <c r="D17" s="3" t="n">
        <v>46062</v>
      </c>
      <c r="E17" s="3" t="n">
        <v>46065</v>
      </c>
      <c r="F17" t="inlineStr">
        <is>
          <t>Surat</t>
        </is>
      </c>
      <c r="G17" t="inlineStr">
        <is>
          <t>Ahmedabad</t>
        </is>
      </c>
      <c r="H17" t="inlineStr">
        <is>
          <t>Maersk</t>
        </is>
      </c>
      <c r="I17" t="inlineStr">
        <is>
          <t>Bike</t>
        </is>
      </c>
      <c r="J17" t="inlineStr">
        <is>
          <t>High</t>
        </is>
      </c>
      <c r="K17" t="inlineStr">
        <is>
          <t>Delivered</t>
        </is>
      </c>
      <c r="L17" t="n">
        <v>924.13</v>
      </c>
      <c r="M17" t="n">
        <v>651</v>
      </c>
      <c r="N17" t="n">
        <v>32.98</v>
      </c>
      <c r="O17" t="n">
        <v>1241.91</v>
      </c>
      <c r="P17" t="n">
        <v>467.73</v>
      </c>
      <c r="Q17">
        <f>ROUND(L17*M17*N17/1000+O17+P17,2)</f>
        <v/>
      </c>
      <c r="R17" t="inlineStr">
        <is>
          <t>No</t>
        </is>
      </c>
      <c r="S17">
        <f>IF(OR(E17="",D17=""),"",MAX(0,E17-D17))</f>
        <v/>
      </c>
      <c r="T17" t="inlineStr">
        <is>
          <t>Yes</t>
        </is>
      </c>
      <c r="U17" t="n">
        <v>18</v>
      </c>
      <c r="V17" t="inlineStr">
        <is>
          <t>COD</t>
        </is>
      </c>
      <c r="W17" t="n">
        <v>1</v>
      </c>
      <c r="X17" t="inlineStr">
        <is>
          <t>None</t>
        </is>
      </c>
    </row>
    <row r="18">
      <c r="A18" t="inlineStr">
        <is>
          <t>ORD-2026-00017</t>
        </is>
      </c>
      <c r="B18" t="inlineStr">
        <is>
          <t>CUST-0065</t>
        </is>
      </c>
      <c r="C18" s="3" t="n">
        <v>46213</v>
      </c>
      <c r="D18" s="3" t="n">
        <v>46216</v>
      </c>
      <c r="E18" s="3" t="n">
        <v>46216</v>
      </c>
      <c r="F18" t="inlineStr">
        <is>
          <t>Ahmedabad</t>
        </is>
      </c>
      <c r="G18" t="inlineStr">
        <is>
          <t>Mumbai</t>
        </is>
      </c>
      <c r="H18" t="inlineStr">
        <is>
          <t>Maersk</t>
        </is>
      </c>
      <c r="I18" t="inlineStr">
        <is>
          <t>Container</t>
        </is>
      </c>
      <c r="J18" t="inlineStr">
        <is>
          <t>High</t>
        </is>
      </c>
      <c r="K18" t="inlineStr">
        <is>
          <t>Delivered</t>
        </is>
      </c>
      <c r="L18" t="n">
        <v>1794.17</v>
      </c>
      <c r="M18" t="n">
        <v>838</v>
      </c>
      <c r="N18" t="n">
        <v>47.19</v>
      </c>
      <c r="O18" t="n">
        <v>5759.42</v>
      </c>
      <c r="P18" t="n">
        <v>768.01</v>
      </c>
      <c r="Q18">
        <f>ROUND(L18*M18*N18/1000+O18+P18,2)</f>
        <v/>
      </c>
      <c r="R18" t="inlineStr">
        <is>
          <t>Yes</t>
        </is>
      </c>
      <c r="S18">
        <f>IF(OR(E18="",D18=""),"",MAX(0,E18-D18))</f>
        <v/>
      </c>
      <c r="T18" t="inlineStr">
        <is>
          <t>Yes</t>
        </is>
      </c>
      <c r="U18" t="n">
        <v>1</v>
      </c>
      <c r="V18" t="inlineStr">
        <is>
          <t>COD</t>
        </is>
      </c>
      <c r="W18" t="n">
        <v>2</v>
      </c>
      <c r="X18" t="inlineStr">
        <is>
          <t>Damaged Package</t>
        </is>
      </c>
    </row>
    <row r="19">
      <c r="A19" t="inlineStr">
        <is>
          <t>ORD-2026-00018</t>
        </is>
      </c>
      <c r="B19" t="inlineStr">
        <is>
          <t>CUST-0039</t>
        </is>
      </c>
      <c r="C19" s="3" t="n">
        <v>46090</v>
      </c>
      <c r="D19" s="3" t="n">
        <v>46093</v>
      </c>
      <c r="E19" s="3" t="n">
        <v>46095</v>
      </c>
      <c r="F19" t="inlineStr">
        <is>
          <t>Surat</t>
        </is>
      </c>
      <c r="G19" t="inlineStr">
        <is>
          <t>Ahmedabad</t>
        </is>
      </c>
      <c r="H19" t="inlineStr">
        <is>
          <t>Aramex</t>
        </is>
      </c>
      <c r="I19" t="inlineStr">
        <is>
          <t>Refrigerated Truck</t>
        </is>
      </c>
      <c r="J19" t="inlineStr">
        <is>
          <t>Normal</t>
        </is>
      </c>
      <c r="K19" t="inlineStr">
        <is>
          <t>Delivered</t>
        </is>
      </c>
      <c r="L19" t="n">
        <v>1069.5</v>
      </c>
      <c r="M19" t="n">
        <v>44</v>
      </c>
      <c r="N19" t="n">
        <v>14.38</v>
      </c>
      <c r="O19" t="n">
        <v>58.67</v>
      </c>
      <c r="P19" t="n">
        <v>1042.71</v>
      </c>
      <c r="Q19">
        <f>ROUND(L19*M19*N19/1000+O19+P19,2)</f>
        <v/>
      </c>
      <c r="R19" t="inlineStr">
        <is>
          <t>No</t>
        </is>
      </c>
      <c r="S19">
        <f>IF(OR(E19="",D19=""),"",MAX(0,E19-D19))</f>
        <v/>
      </c>
      <c r="T19" t="inlineStr">
        <is>
          <t>No</t>
        </is>
      </c>
      <c r="U19" t="n">
        <v>17</v>
      </c>
      <c r="V19" t="inlineStr">
        <is>
          <t>Paid</t>
        </is>
      </c>
      <c r="W19" t="n">
        <v>3</v>
      </c>
      <c r="X19" t="inlineStr">
        <is>
          <t>Vehicle Breakdown</t>
        </is>
      </c>
    </row>
    <row r="20">
      <c r="A20" t="inlineStr">
        <is>
          <t>ORD-2026-00019</t>
        </is>
      </c>
      <c r="B20" t="inlineStr">
        <is>
          <t>CUST-0250</t>
        </is>
      </c>
      <c r="C20" s="3" t="n">
        <v>46226</v>
      </c>
      <c r="D20" s="3" t="n">
        <v>46227</v>
      </c>
      <c r="E20" s="3" t="n">
        <v>46230</v>
      </c>
      <c r="F20" t="inlineStr">
        <is>
          <t>Kolkata</t>
        </is>
      </c>
      <c r="G20" t="inlineStr">
        <is>
          <t>Delhi</t>
        </is>
      </c>
      <c r="H20" t="inlineStr">
        <is>
          <t>DHL</t>
        </is>
      </c>
      <c r="I20" t="inlineStr">
        <is>
          <t>Truck</t>
        </is>
      </c>
      <c r="J20" t="inlineStr">
        <is>
          <t>Normal</t>
        </is>
      </c>
      <c r="K20" t="inlineStr">
        <is>
          <t>Delivered</t>
        </is>
      </c>
      <c r="L20" t="n">
        <v>624.2</v>
      </c>
      <c r="M20" t="n">
        <v>426</v>
      </c>
      <c r="N20" t="n">
        <v>28.16</v>
      </c>
      <c r="O20" t="n">
        <v>476.18</v>
      </c>
      <c r="P20" t="n">
        <v>1314.57</v>
      </c>
      <c r="Q20">
        <f>ROUND(L20*M20*N20/1000+O20+P20,2)</f>
        <v/>
      </c>
      <c r="R20" t="inlineStr">
        <is>
          <t>No</t>
        </is>
      </c>
      <c r="S20">
        <f>IF(OR(E20="",D20=""),"",MAX(0,E20-D20))</f>
        <v/>
      </c>
      <c r="T20" t="inlineStr">
        <is>
          <t>No</t>
        </is>
      </c>
      <c r="U20" t="n">
        <v>4</v>
      </c>
      <c r="V20" t="inlineStr">
        <is>
          <t>Pending</t>
        </is>
      </c>
      <c r="W20" t="n">
        <v>3</v>
      </c>
      <c r="X20" t="inlineStr">
        <is>
          <t>Customer Unavailable</t>
        </is>
      </c>
    </row>
    <row r="21">
      <c r="A21" t="inlineStr">
        <is>
          <t>ORD-2026-00020</t>
        </is>
      </c>
      <c r="B21" t="inlineStr">
        <is>
          <t>CUST-0118</t>
        </is>
      </c>
      <c r="C21" s="3" t="n">
        <v>46128</v>
      </c>
      <c r="D21" s="3" t="n">
        <v>46132</v>
      </c>
      <c r="E21" s="3" t="n">
        <v>46132</v>
      </c>
      <c r="F21" t="inlineStr">
        <is>
          <t>Hyderabad</t>
        </is>
      </c>
      <c r="G21" t="inlineStr">
        <is>
          <t>Pune</t>
        </is>
      </c>
      <c r="H21" t="inlineStr">
        <is>
          <t>Aramex</t>
        </is>
      </c>
      <c r="I21" t="inlineStr">
        <is>
          <t>Truck</t>
        </is>
      </c>
      <c r="J21" t="inlineStr">
        <is>
          <t>Normal</t>
        </is>
      </c>
      <c r="K21" t="inlineStr">
        <is>
          <t>Delivered</t>
        </is>
      </c>
      <c r="L21" t="n">
        <v>270.69</v>
      </c>
      <c r="M21" t="n">
        <v>163</v>
      </c>
      <c r="N21" t="n">
        <v>56.94</v>
      </c>
      <c r="O21" t="n">
        <v>108.9</v>
      </c>
      <c r="P21" t="n">
        <v>1228.55</v>
      </c>
      <c r="Q21">
        <f>ROUND(L21*M21*N21/1000+O21+P21,2)</f>
        <v/>
      </c>
      <c r="R21" t="inlineStr">
        <is>
          <t>Yes</t>
        </is>
      </c>
      <c r="S21">
        <f>IF(OR(E21="",D21=""),"",MAX(0,E21-D21))</f>
        <v/>
      </c>
      <c r="T21" t="inlineStr">
        <is>
          <t>Yes</t>
        </is>
      </c>
      <c r="U21" t="n">
        <v>25</v>
      </c>
      <c r="V21" t="inlineStr">
        <is>
          <t>Failed</t>
        </is>
      </c>
      <c r="W21" t="n">
        <v>3</v>
      </c>
      <c r="X21" t="inlineStr">
        <is>
          <t>Vehicle Breakdown</t>
        </is>
      </c>
    </row>
    <row r="22">
      <c r="A22" t="inlineStr">
        <is>
          <t>ORD-2026-00021</t>
        </is>
      </c>
      <c r="B22" t="inlineStr">
        <is>
          <t>CUST-0067</t>
        </is>
      </c>
      <c r="C22" s="3" t="n">
        <v>46040</v>
      </c>
      <c r="D22" s="3" t="n">
        <v>46045</v>
      </c>
      <c r="E22" s="3" t="n">
        <v>46045</v>
      </c>
      <c r="F22" t="inlineStr">
        <is>
          <t>Delhi</t>
        </is>
      </c>
      <c r="G22" t="inlineStr">
        <is>
          <t>Kolkata</t>
        </is>
      </c>
      <c r="H22" t="inlineStr">
        <is>
          <t>FedEx</t>
        </is>
      </c>
      <c r="I22" t="inlineStr">
        <is>
          <t>Van</t>
        </is>
      </c>
      <c r="J22" t="inlineStr">
        <is>
          <t>Low</t>
        </is>
      </c>
      <c r="K22" t="inlineStr">
        <is>
          <t>Delivered</t>
        </is>
      </c>
      <c r="L22" t="n">
        <v>1698.96</v>
      </c>
      <c r="M22" t="n">
        <v>2201</v>
      </c>
      <c r="N22" t="n">
        <v>26.88</v>
      </c>
      <c r="O22" t="n">
        <v>3181.92</v>
      </c>
      <c r="P22" t="n">
        <v>1318.02</v>
      </c>
      <c r="Q22">
        <f>ROUND(L22*M22*N22/1000+O22+P22,2)</f>
        <v/>
      </c>
      <c r="R22" t="inlineStr">
        <is>
          <t>Yes</t>
        </is>
      </c>
      <c r="S22">
        <f>IF(OR(E22="",D22=""),"",MAX(0,E22-D22))</f>
        <v/>
      </c>
      <c r="T22" t="inlineStr">
        <is>
          <t>No</t>
        </is>
      </c>
      <c r="U22" t="n">
        <v>45</v>
      </c>
      <c r="V22" t="inlineStr">
        <is>
          <t>COD</t>
        </is>
      </c>
      <c r="W22" t="n">
        <v>4</v>
      </c>
      <c r="X22" t="inlineStr">
        <is>
          <t>Customs</t>
        </is>
      </c>
    </row>
    <row r="23">
      <c r="A23" t="inlineStr">
        <is>
          <t>ORD-2026-00022</t>
        </is>
      </c>
      <c r="B23" t="inlineStr">
        <is>
          <t>CUST-0185</t>
        </is>
      </c>
      <c r="C23" s="3" t="n">
        <v>46153</v>
      </c>
      <c r="D23" s="3" t="n">
        <v>46155</v>
      </c>
      <c r="E23" s="3" t="n">
        <v>46155</v>
      </c>
      <c r="F23" t="inlineStr">
        <is>
          <t>Bengaluru</t>
        </is>
      </c>
      <c r="G23" t="inlineStr">
        <is>
          <t>Hyderabad</t>
        </is>
      </c>
      <c r="H23" t="inlineStr">
        <is>
          <t>Delhivery</t>
        </is>
      </c>
      <c r="I23" t="inlineStr">
        <is>
          <t>Van</t>
        </is>
      </c>
      <c r="J23" t="inlineStr">
        <is>
          <t>High</t>
        </is>
      </c>
      <c r="K23" t="inlineStr">
        <is>
          <t>Delivered</t>
        </is>
      </c>
      <c r="L23" t="n">
        <v>637.1799999999999</v>
      </c>
      <c r="M23" t="n">
        <v>1791</v>
      </c>
      <c r="N23" t="n">
        <v>8.1</v>
      </c>
      <c r="O23" t="n">
        <v>790.65</v>
      </c>
      <c r="P23" t="n">
        <v>816.91</v>
      </c>
      <c r="Q23">
        <f>ROUND(L23*M23*N23/1000+O23+P23,2)</f>
        <v/>
      </c>
      <c r="R23" t="inlineStr">
        <is>
          <t>Yes</t>
        </is>
      </c>
      <c r="S23">
        <f>IF(OR(E23="",D23=""),"",MAX(0,E23-D23))</f>
        <v/>
      </c>
      <c r="T23" t="inlineStr">
        <is>
          <t>No</t>
        </is>
      </c>
      <c r="U23" t="n">
        <v>16</v>
      </c>
      <c r="V23" t="inlineStr">
        <is>
          <t>COD</t>
        </is>
      </c>
      <c r="W23" t="n">
        <v>5</v>
      </c>
      <c r="X23" t="inlineStr">
        <is>
          <t>Vehicle Breakdown</t>
        </is>
      </c>
    </row>
    <row r="24">
      <c r="A24" t="inlineStr">
        <is>
          <t>ORD-2026-00023</t>
        </is>
      </c>
      <c r="B24" t="inlineStr">
        <is>
          <t>CUST-0232</t>
        </is>
      </c>
      <c r="C24" s="3" t="n">
        <v>46193</v>
      </c>
      <c r="D24" s="3" t="n">
        <v>46200</v>
      </c>
      <c r="E24" s="3" t="n">
        <v>46200</v>
      </c>
      <c r="F24" t="inlineStr">
        <is>
          <t>Delhi</t>
        </is>
      </c>
      <c r="G24" t="inlineStr">
        <is>
          <t>Kolkata</t>
        </is>
      </c>
      <c r="H24" t="inlineStr">
        <is>
          <t>DTDC</t>
        </is>
      </c>
      <c r="I24" t="inlineStr">
        <is>
          <t>Refrigerated Truck</t>
        </is>
      </c>
      <c r="J24" t="inlineStr">
        <is>
          <t>Critical</t>
        </is>
      </c>
      <c r="K24" t="inlineStr">
        <is>
          <t>Delivered</t>
        </is>
      </c>
      <c r="L24" t="n">
        <v>1386.25</v>
      </c>
      <c r="M24" t="n">
        <v>790</v>
      </c>
      <c r="N24" t="n">
        <v>31.97</v>
      </c>
      <c r="O24" t="n">
        <v>3025.76</v>
      </c>
      <c r="P24" t="n">
        <v>1022.43</v>
      </c>
      <c r="Q24">
        <f>ROUND(L24*M24*N24/1000+O24+P24,2)</f>
        <v/>
      </c>
      <c r="R24" t="inlineStr">
        <is>
          <t>Yes</t>
        </is>
      </c>
      <c r="S24">
        <f>IF(OR(E24="",D24=""),"",MAX(0,E24-D24))</f>
        <v/>
      </c>
      <c r="T24" t="inlineStr">
        <is>
          <t>Yes</t>
        </is>
      </c>
      <c r="U24" t="n">
        <v>39</v>
      </c>
      <c r="V24" t="inlineStr">
        <is>
          <t>COD</t>
        </is>
      </c>
      <c r="W24" t="n">
        <v>2</v>
      </c>
      <c r="X24" t="inlineStr">
        <is>
          <t>Weather</t>
        </is>
      </c>
    </row>
    <row r="25">
      <c r="A25" t="inlineStr">
        <is>
          <t>ORD-2026-00024</t>
        </is>
      </c>
      <c r="B25" t="inlineStr">
        <is>
          <t>CUST-0169</t>
        </is>
      </c>
      <c r="C25" s="3" t="n">
        <v>46224</v>
      </c>
      <c r="D25" s="3" t="n">
        <v>46230</v>
      </c>
      <c r="E25" s="3" t="n">
        <v>46230</v>
      </c>
      <c r="F25" t="inlineStr">
        <is>
          <t>Mumbai</t>
        </is>
      </c>
      <c r="G25" t="inlineStr">
        <is>
          <t>Pune</t>
        </is>
      </c>
      <c r="H25" t="inlineStr">
        <is>
          <t>DTDC</t>
        </is>
      </c>
      <c r="I25" t="inlineStr">
        <is>
          <t>Bike</t>
        </is>
      </c>
      <c r="J25" t="inlineStr">
        <is>
          <t>High</t>
        </is>
      </c>
      <c r="K25" t="inlineStr">
        <is>
          <t>Delivered</t>
        </is>
      </c>
      <c r="L25" t="n">
        <v>534.65</v>
      </c>
      <c r="M25" t="n">
        <v>1943</v>
      </c>
      <c r="N25" t="n">
        <v>53.24</v>
      </c>
      <c r="O25" t="n">
        <v>4844.34</v>
      </c>
      <c r="P25" t="n">
        <v>1109.22</v>
      </c>
      <c r="Q25">
        <f>ROUND(L25*M25*N25/1000+O25+P25,2)</f>
        <v/>
      </c>
      <c r="R25" t="inlineStr">
        <is>
          <t>Yes</t>
        </is>
      </c>
      <c r="S25">
        <f>IF(OR(E25="",D25=""),"",MAX(0,E25-D25))</f>
        <v/>
      </c>
      <c r="T25" t="inlineStr">
        <is>
          <t>Yes</t>
        </is>
      </c>
      <c r="U25" t="n">
        <v>31</v>
      </c>
      <c r="V25" t="inlineStr">
        <is>
          <t>COD</t>
        </is>
      </c>
      <c r="W25" t="n">
        <v>2</v>
      </c>
      <c r="X25" t="inlineStr">
        <is>
          <t>Customer Unavailable</t>
        </is>
      </c>
    </row>
    <row r="26">
      <c r="A26" t="inlineStr">
        <is>
          <t>ORD-2026-00025</t>
        </is>
      </c>
      <c r="B26" t="inlineStr">
        <is>
          <t>CUST-0184</t>
        </is>
      </c>
      <c r="C26" s="3" t="n">
        <v>46073</v>
      </c>
      <c r="D26" s="3" t="n">
        <v>46076</v>
      </c>
      <c r="E26" s="3" t="n">
        <v>46076</v>
      </c>
      <c r="F26" t="inlineStr">
        <is>
          <t>Chennai</t>
        </is>
      </c>
      <c r="G26" t="inlineStr">
        <is>
          <t>Jaipur</t>
        </is>
      </c>
      <c r="H26" t="inlineStr">
        <is>
          <t>Delhivery</t>
        </is>
      </c>
      <c r="I26" t="inlineStr">
        <is>
          <t>Truck</t>
        </is>
      </c>
      <c r="J26" t="inlineStr">
        <is>
          <t>Normal</t>
        </is>
      </c>
      <c r="K26" t="inlineStr">
        <is>
          <t>Delivered</t>
        </is>
      </c>
      <c r="L26" t="n">
        <v>1188.1</v>
      </c>
      <c r="M26" t="n">
        <v>303</v>
      </c>
      <c r="N26" t="n">
        <v>33.96</v>
      </c>
      <c r="O26" t="n">
        <v>1016.77</v>
      </c>
      <c r="P26" t="n">
        <v>871.99</v>
      </c>
      <c r="Q26">
        <f>ROUND(L26*M26*N26/1000+O26+P26,2)</f>
        <v/>
      </c>
      <c r="R26" t="inlineStr">
        <is>
          <t>Yes</t>
        </is>
      </c>
      <c r="S26">
        <f>IF(OR(E26="",D26=""),"",MAX(0,E26-D26))</f>
        <v/>
      </c>
      <c r="T26" t="inlineStr">
        <is>
          <t>Yes</t>
        </is>
      </c>
      <c r="U26" t="n">
        <v>14</v>
      </c>
      <c r="V26" t="inlineStr">
        <is>
          <t>Failed</t>
        </is>
      </c>
      <c r="W26" t="n">
        <v>2</v>
      </c>
      <c r="X26" t="inlineStr">
        <is>
          <t>Address Error</t>
        </is>
      </c>
    </row>
    <row r="27">
      <c r="A27" t="inlineStr">
        <is>
          <t>ORD-2026-00026</t>
        </is>
      </c>
      <c r="B27" t="inlineStr">
        <is>
          <t>CUST-0144</t>
        </is>
      </c>
      <c r="C27" s="3" t="n">
        <v>46228</v>
      </c>
      <c r="D27" s="3" t="n">
        <v>46236</v>
      </c>
      <c r="E27" s="3" t="n">
        <v>46236</v>
      </c>
      <c r="F27" t="inlineStr">
        <is>
          <t>Kolkata</t>
        </is>
      </c>
      <c r="G27" t="inlineStr">
        <is>
          <t>Hyderabad</t>
        </is>
      </c>
      <c r="H27" t="inlineStr">
        <is>
          <t>Aramex</t>
        </is>
      </c>
      <c r="I27" t="inlineStr">
        <is>
          <t>Container</t>
        </is>
      </c>
      <c r="J27" t="inlineStr">
        <is>
          <t>Critical</t>
        </is>
      </c>
      <c r="K27" t="inlineStr">
        <is>
          <t>Delivered</t>
        </is>
      </c>
      <c r="L27" t="n">
        <v>2120.92</v>
      </c>
      <c r="M27" t="n">
        <v>1874</v>
      </c>
      <c r="N27" t="n">
        <v>15.6</v>
      </c>
      <c r="O27" t="n">
        <v>3588.69</v>
      </c>
      <c r="P27" t="n">
        <v>806.08</v>
      </c>
      <c r="Q27">
        <f>ROUND(L27*M27*N27/1000+O27+P27,2)</f>
        <v/>
      </c>
      <c r="R27" t="inlineStr">
        <is>
          <t>Yes</t>
        </is>
      </c>
      <c r="S27">
        <f>IF(OR(E27="",D27=""),"",MAX(0,E27-D27))</f>
        <v/>
      </c>
      <c r="T27" t="inlineStr">
        <is>
          <t>No</t>
        </is>
      </c>
      <c r="U27" t="n">
        <v>21</v>
      </c>
      <c r="V27" t="inlineStr">
        <is>
          <t>Failed</t>
        </is>
      </c>
      <c r="W27" t="n">
        <v>4</v>
      </c>
      <c r="X27" t="inlineStr">
        <is>
          <t>Vehicle Breakdown</t>
        </is>
      </c>
    </row>
    <row r="28">
      <c r="A28" t="inlineStr">
        <is>
          <t>ORD-2026-00027</t>
        </is>
      </c>
      <c r="B28" t="inlineStr">
        <is>
          <t>CUST-0074</t>
        </is>
      </c>
      <c r="C28" s="3" t="n">
        <v>46215</v>
      </c>
      <c r="D28" s="3" t="n">
        <v>46219</v>
      </c>
      <c r="E28" s="3" t="n">
        <v>46222</v>
      </c>
      <c r="F28" t="inlineStr">
        <is>
          <t>Bengaluru</t>
        </is>
      </c>
      <c r="G28" t="inlineStr">
        <is>
          <t>Pune</t>
        </is>
      </c>
      <c r="H28" t="inlineStr">
        <is>
          <t>FedEx</t>
        </is>
      </c>
      <c r="I28" t="inlineStr">
        <is>
          <t>Refrigerated Truck</t>
        </is>
      </c>
      <c r="J28" t="inlineStr">
        <is>
          <t>Low</t>
        </is>
      </c>
      <c r="K28" t="inlineStr">
        <is>
          <t>Delivered</t>
        </is>
      </c>
      <c r="L28" t="n">
        <v>1944.3</v>
      </c>
      <c r="M28" t="n">
        <v>1989</v>
      </c>
      <c r="N28" t="n">
        <v>43.72</v>
      </c>
      <c r="O28" t="n">
        <v>7857.88</v>
      </c>
      <c r="P28" t="n">
        <v>134.68</v>
      </c>
      <c r="Q28">
        <f>ROUND(L28*M28*N28/1000+O28+P28,2)</f>
        <v/>
      </c>
      <c r="R28" t="inlineStr">
        <is>
          <t>No</t>
        </is>
      </c>
      <c r="S28">
        <f>IF(OR(E28="",D28=""),"",MAX(0,E28-D28))</f>
        <v/>
      </c>
      <c r="T28" t="inlineStr">
        <is>
          <t>Yes</t>
        </is>
      </c>
      <c r="U28" t="n">
        <v>20</v>
      </c>
      <c r="V28" t="inlineStr">
        <is>
          <t>Pending</t>
        </is>
      </c>
      <c r="W28" t="n">
        <v>4</v>
      </c>
      <c r="X28" t="inlineStr">
        <is>
          <t>Damaged Package</t>
        </is>
      </c>
    </row>
    <row r="29">
      <c r="A29" t="inlineStr">
        <is>
          <t>ORD-2026-00028</t>
        </is>
      </c>
      <c r="B29" t="inlineStr">
        <is>
          <t>CUST-0198</t>
        </is>
      </c>
      <c r="C29" s="3" t="n">
        <v>46062</v>
      </c>
      <c r="D29" s="3" t="n">
        <v>46066</v>
      </c>
      <c r="E29" s="3" t="n">
        <v>46066</v>
      </c>
      <c r="F29" t="inlineStr">
        <is>
          <t>Kolkata</t>
        </is>
      </c>
      <c r="G29" t="inlineStr">
        <is>
          <t>Ahmedabad</t>
        </is>
      </c>
      <c r="H29" t="inlineStr">
        <is>
          <t>Aramex</t>
        </is>
      </c>
      <c r="I29" t="inlineStr">
        <is>
          <t>Bike</t>
        </is>
      </c>
      <c r="J29" t="inlineStr">
        <is>
          <t>Critical</t>
        </is>
      </c>
      <c r="K29" t="inlineStr">
        <is>
          <t>Delivered</t>
        </is>
      </c>
      <c r="L29" t="n">
        <v>1356.76</v>
      </c>
      <c r="M29" t="n">
        <v>1708</v>
      </c>
      <c r="N29" t="n">
        <v>11.55</v>
      </c>
      <c r="O29" t="n">
        <v>2140.52</v>
      </c>
      <c r="P29" t="n">
        <v>596.4299999999999</v>
      </c>
      <c r="Q29">
        <f>ROUND(L29*M29*N29/1000+O29+P29,2)</f>
        <v/>
      </c>
      <c r="R29" t="inlineStr">
        <is>
          <t>Yes</t>
        </is>
      </c>
      <c r="S29">
        <f>IF(OR(E29="",D29=""),"",MAX(0,E29-D29))</f>
        <v/>
      </c>
      <c r="T29" t="inlineStr">
        <is>
          <t>No</t>
        </is>
      </c>
      <c r="U29" t="n">
        <v>1</v>
      </c>
      <c r="V29" t="inlineStr">
        <is>
          <t>COD</t>
        </is>
      </c>
      <c r="W29" t="n">
        <v>3</v>
      </c>
      <c r="X29" t="inlineStr">
        <is>
          <t>Customer Unavailable</t>
        </is>
      </c>
    </row>
    <row r="30">
      <c r="A30" t="inlineStr">
        <is>
          <t>ORD-2026-00029</t>
        </is>
      </c>
      <c r="B30" t="inlineStr">
        <is>
          <t>CUST-0100</t>
        </is>
      </c>
      <c r="C30" s="3" t="n">
        <v>46122</v>
      </c>
      <c r="D30" s="3" t="n">
        <v>46129</v>
      </c>
      <c r="E30" s="3" t="n">
        <v>46129</v>
      </c>
      <c r="F30" t="inlineStr">
        <is>
          <t>Hyderabad</t>
        </is>
      </c>
      <c r="G30" t="inlineStr">
        <is>
          <t>Chennai</t>
        </is>
      </c>
      <c r="H30" t="inlineStr">
        <is>
          <t>Maersk</t>
        </is>
      </c>
      <c r="I30" t="inlineStr">
        <is>
          <t>Truck</t>
        </is>
      </c>
      <c r="J30" t="inlineStr">
        <is>
          <t>Critical</t>
        </is>
      </c>
      <c r="K30" t="inlineStr">
        <is>
          <t>Delivered</t>
        </is>
      </c>
      <c r="L30" t="n">
        <v>1999.77</v>
      </c>
      <c r="M30" t="n">
        <v>908</v>
      </c>
      <c r="N30" t="n">
        <v>35.83</v>
      </c>
      <c r="O30" t="n">
        <v>3017.22</v>
      </c>
      <c r="P30" t="n">
        <v>738.75</v>
      </c>
      <c r="Q30">
        <f>ROUND(L30*M30*N30/1000+O30+P30,2)</f>
        <v/>
      </c>
      <c r="R30" t="inlineStr">
        <is>
          <t>Yes</t>
        </is>
      </c>
      <c r="S30">
        <f>IF(OR(E30="",D30=""),"",MAX(0,E30-D30))</f>
        <v/>
      </c>
      <c r="T30" t="inlineStr">
        <is>
          <t>Yes</t>
        </is>
      </c>
      <c r="U30" t="n">
        <v>80</v>
      </c>
      <c r="V30" t="inlineStr">
        <is>
          <t>Paid</t>
        </is>
      </c>
      <c r="W30" t="n">
        <v>4</v>
      </c>
      <c r="X30" t="inlineStr">
        <is>
          <t>Customs</t>
        </is>
      </c>
    </row>
    <row r="31">
      <c r="A31" t="inlineStr">
        <is>
          <t>ORD-2026-00030</t>
        </is>
      </c>
      <c r="B31" t="inlineStr">
        <is>
          <t>CUST-0084</t>
        </is>
      </c>
      <c r="C31" s="3" t="n">
        <v>46167</v>
      </c>
      <c r="D31" s="3" t="n">
        <v>46168</v>
      </c>
      <c r="E31" s="3" t="n">
        <v>46168</v>
      </c>
      <c r="F31" t="inlineStr">
        <is>
          <t>Hyderabad</t>
        </is>
      </c>
      <c r="G31" t="inlineStr">
        <is>
          <t>Chennai</t>
        </is>
      </c>
      <c r="H31" t="inlineStr">
        <is>
          <t>FedEx</t>
        </is>
      </c>
      <c r="I31" t="inlineStr">
        <is>
          <t>Container</t>
        </is>
      </c>
      <c r="J31" t="inlineStr">
        <is>
          <t>High</t>
        </is>
      </c>
      <c r="K31" t="inlineStr">
        <is>
          <t>Delivered</t>
        </is>
      </c>
      <c r="L31" t="n">
        <v>2167.19</v>
      </c>
      <c r="M31" t="n">
        <v>749</v>
      </c>
      <c r="N31" t="n">
        <v>10.87</v>
      </c>
      <c r="O31" t="n">
        <v>930.6799999999999</v>
      </c>
      <c r="P31" t="n">
        <v>333.26</v>
      </c>
      <c r="Q31">
        <f>ROUND(L31*M31*N31/1000+O31+P31,2)</f>
        <v/>
      </c>
      <c r="R31" t="inlineStr">
        <is>
          <t>Yes</t>
        </is>
      </c>
      <c r="S31">
        <f>IF(OR(E31="",D31=""),"",MAX(0,E31-D31))</f>
        <v/>
      </c>
      <c r="T31" t="inlineStr">
        <is>
          <t>Yes</t>
        </is>
      </c>
      <c r="U31" t="n">
        <v>61</v>
      </c>
      <c r="V31" t="inlineStr">
        <is>
          <t>Paid</t>
        </is>
      </c>
      <c r="W31" t="n">
        <v>5</v>
      </c>
      <c r="X31" t="inlineStr">
        <is>
          <t>None</t>
        </is>
      </c>
    </row>
    <row r="32">
      <c r="A32" t="inlineStr">
        <is>
          <t>ORD-2026-00031</t>
        </is>
      </c>
      <c r="B32" t="inlineStr">
        <is>
          <t>CUST-0040</t>
        </is>
      </c>
      <c r="C32" s="3" t="n">
        <v>46112</v>
      </c>
      <c r="D32" s="3" t="n">
        <v>46116</v>
      </c>
      <c r="E32" s="3" t="n">
        <v>46117</v>
      </c>
      <c r="F32" t="inlineStr">
        <is>
          <t>Bengaluru</t>
        </is>
      </c>
      <c r="G32" t="inlineStr">
        <is>
          <t>Delhi</t>
        </is>
      </c>
      <c r="H32" t="inlineStr">
        <is>
          <t>Delhivery</t>
        </is>
      </c>
      <c r="I32" t="inlineStr">
        <is>
          <t>Van</t>
        </is>
      </c>
      <c r="J32" t="inlineStr">
        <is>
          <t>Normal</t>
        </is>
      </c>
      <c r="K32" t="inlineStr">
        <is>
          <t>Delivered</t>
        </is>
      </c>
      <c r="L32" t="n">
        <v>1629.56</v>
      </c>
      <c r="M32" t="n">
        <v>132</v>
      </c>
      <c r="N32" t="n">
        <v>62.13</v>
      </c>
      <c r="O32" t="n">
        <v>560.79</v>
      </c>
      <c r="P32" t="n">
        <v>50.16</v>
      </c>
      <c r="Q32">
        <f>ROUND(L32*M32*N32/1000+O32+P32,2)</f>
        <v/>
      </c>
      <c r="R32" t="inlineStr">
        <is>
          <t>No</t>
        </is>
      </c>
      <c r="S32">
        <f>IF(OR(E32="",D32=""),"",MAX(0,E32-D32))</f>
        <v/>
      </c>
      <c r="T32" t="inlineStr">
        <is>
          <t>No</t>
        </is>
      </c>
      <c r="U32" t="n">
        <v>33</v>
      </c>
      <c r="V32" t="inlineStr">
        <is>
          <t>COD</t>
        </is>
      </c>
      <c r="W32" t="n">
        <v>2</v>
      </c>
      <c r="X32" t="inlineStr">
        <is>
          <t>Customs</t>
        </is>
      </c>
    </row>
    <row r="33">
      <c r="A33" t="inlineStr">
        <is>
          <t>ORD-2026-00032</t>
        </is>
      </c>
      <c r="B33" t="inlineStr">
        <is>
          <t>CUST-0246</t>
        </is>
      </c>
      <c r="C33" s="3" t="n">
        <v>46178</v>
      </c>
      <c r="D33" s="3" t="n">
        <v>46180</v>
      </c>
      <c r="E33" s="3" t="n">
        <v>46182</v>
      </c>
      <c r="F33" t="inlineStr">
        <is>
          <t>Chennai</t>
        </is>
      </c>
      <c r="G33" t="inlineStr">
        <is>
          <t>Chennai</t>
        </is>
      </c>
      <c r="H33" t="inlineStr">
        <is>
          <t>Maersk</t>
        </is>
      </c>
      <c r="I33" t="inlineStr">
        <is>
          <t>Truck</t>
        </is>
      </c>
      <c r="J33" t="inlineStr">
        <is>
          <t>Low</t>
        </is>
      </c>
      <c r="K33" t="inlineStr">
        <is>
          <t>Delivered</t>
        </is>
      </c>
      <c r="L33" t="n">
        <v>777.9400000000001</v>
      </c>
      <c r="M33" t="n">
        <v>2375</v>
      </c>
      <c r="N33" t="n">
        <v>9.460000000000001</v>
      </c>
      <c r="O33" t="n">
        <v>851.5</v>
      </c>
      <c r="P33" t="n">
        <v>1022.47</v>
      </c>
      <c r="Q33">
        <f>ROUND(L33*M33*N33/1000+O33+P33,2)</f>
        <v/>
      </c>
      <c r="R33" t="inlineStr">
        <is>
          <t>No</t>
        </is>
      </c>
      <c r="S33">
        <f>IF(OR(E33="",D33=""),"",MAX(0,E33-D33))</f>
        <v/>
      </c>
      <c r="T33" t="inlineStr">
        <is>
          <t>Yes</t>
        </is>
      </c>
      <c r="U33" t="n">
        <v>14</v>
      </c>
      <c r="V33" t="inlineStr">
        <is>
          <t>COD</t>
        </is>
      </c>
      <c r="W33" t="n">
        <v>5</v>
      </c>
      <c r="X33" t="inlineStr">
        <is>
          <t>Customer Unavailable</t>
        </is>
      </c>
    </row>
    <row r="34">
      <c r="A34" t="inlineStr">
        <is>
          <t>ORD-2026-00033</t>
        </is>
      </c>
      <c r="B34" t="inlineStr">
        <is>
          <t>CUST-0126</t>
        </is>
      </c>
      <c r="C34" s="3" t="n">
        <v>46053</v>
      </c>
      <c r="D34" s="3" t="n">
        <v>46054</v>
      </c>
      <c r="E34" s="3" t="n">
        <v>46054</v>
      </c>
      <c r="F34" t="inlineStr">
        <is>
          <t>Mumbai</t>
        </is>
      </c>
      <c r="G34" t="inlineStr">
        <is>
          <t>Chennai</t>
        </is>
      </c>
      <c r="H34" t="inlineStr">
        <is>
          <t>FedEx</t>
        </is>
      </c>
      <c r="I34" t="inlineStr">
        <is>
          <t>Container</t>
        </is>
      </c>
      <c r="J34" t="inlineStr">
        <is>
          <t>Normal</t>
        </is>
      </c>
      <c r="K34" t="inlineStr">
        <is>
          <t>Delivered</t>
        </is>
      </c>
      <c r="L34" t="n">
        <v>926.74</v>
      </c>
      <c r="M34" t="n">
        <v>2077</v>
      </c>
      <c r="N34" t="n">
        <v>44.91</v>
      </c>
      <c r="O34" t="n">
        <v>2658.96</v>
      </c>
      <c r="P34" t="n">
        <v>641.6900000000001</v>
      </c>
      <c r="Q34">
        <f>ROUND(L34*M34*N34/1000+O34+P34,2)</f>
        <v/>
      </c>
      <c r="R34" t="inlineStr">
        <is>
          <t>Yes</t>
        </is>
      </c>
      <c r="S34">
        <f>IF(OR(E34="",D34=""),"",MAX(0,E34-D34))</f>
        <v/>
      </c>
      <c r="T34" t="inlineStr">
        <is>
          <t>No</t>
        </is>
      </c>
      <c r="U34" t="n">
        <v>23</v>
      </c>
      <c r="V34" t="inlineStr">
        <is>
          <t>COD</t>
        </is>
      </c>
      <c r="W34" t="n">
        <v>5</v>
      </c>
      <c r="X34" t="inlineStr">
        <is>
          <t>Customer Unavailable</t>
        </is>
      </c>
    </row>
    <row r="35">
      <c r="A35" t="inlineStr">
        <is>
          <t>ORD-2026-00034</t>
        </is>
      </c>
      <c r="B35" t="inlineStr">
        <is>
          <t>CUST-0226</t>
        </is>
      </c>
      <c r="C35" s="3" t="n">
        <v>46160</v>
      </c>
      <c r="D35" s="3" t="n">
        <v>46168</v>
      </c>
      <c r="E35" s="3" t="n">
        <v>46168</v>
      </c>
      <c r="F35" t="inlineStr">
        <is>
          <t>Jaipur</t>
        </is>
      </c>
      <c r="G35" t="inlineStr">
        <is>
          <t>Bengaluru</t>
        </is>
      </c>
      <c r="H35" t="inlineStr">
        <is>
          <t>Aramex</t>
        </is>
      </c>
      <c r="I35" t="inlineStr">
        <is>
          <t>Container</t>
        </is>
      </c>
      <c r="J35" t="inlineStr">
        <is>
          <t>Critical</t>
        </is>
      </c>
      <c r="K35" t="inlineStr">
        <is>
          <t>Delivered</t>
        </is>
      </c>
      <c r="L35" t="n">
        <v>1481.39</v>
      </c>
      <c r="M35" t="n">
        <v>1325</v>
      </c>
      <c r="N35" t="n">
        <v>56.55</v>
      </c>
      <c r="O35" t="n">
        <v>8862.559999999999</v>
      </c>
      <c r="P35" t="n">
        <v>148.26</v>
      </c>
      <c r="Q35">
        <f>ROUND(L35*M35*N35/1000+O35+P35,2)</f>
        <v/>
      </c>
      <c r="R35" t="inlineStr">
        <is>
          <t>Yes</t>
        </is>
      </c>
      <c r="S35">
        <f>IF(OR(E35="",D35=""),"",MAX(0,E35-D35))</f>
        <v/>
      </c>
      <c r="T35" t="inlineStr">
        <is>
          <t>No</t>
        </is>
      </c>
      <c r="U35" t="n">
        <v>4</v>
      </c>
      <c r="V35" t="inlineStr">
        <is>
          <t>Failed</t>
        </is>
      </c>
      <c r="W35" t="n">
        <v>3</v>
      </c>
      <c r="X35" t="inlineStr">
        <is>
          <t>Address Error</t>
        </is>
      </c>
    </row>
    <row r="36">
      <c r="A36" t="inlineStr">
        <is>
          <t>ORD-2026-00035</t>
        </is>
      </c>
      <c r="B36" t="inlineStr">
        <is>
          <t>CUST-0243</t>
        </is>
      </c>
      <c r="C36" s="3" t="n">
        <v>46147</v>
      </c>
      <c r="D36" s="3" t="n">
        <v>46151</v>
      </c>
      <c r="E36" s="3" t="n">
        <v>46151</v>
      </c>
      <c r="F36" t="inlineStr">
        <is>
          <t>Bengaluru</t>
        </is>
      </c>
      <c r="G36" t="inlineStr">
        <is>
          <t>Mumbai</t>
        </is>
      </c>
      <c r="H36" t="inlineStr">
        <is>
          <t>DHL</t>
        </is>
      </c>
      <c r="I36" t="inlineStr">
        <is>
          <t>Container</t>
        </is>
      </c>
      <c r="J36" t="inlineStr">
        <is>
          <t>Critical</t>
        </is>
      </c>
      <c r="K36" t="inlineStr">
        <is>
          <t>Delivered</t>
        </is>
      </c>
      <c r="L36" t="n">
        <v>699.51</v>
      </c>
      <c r="M36" t="n">
        <v>2446</v>
      </c>
      <c r="N36" t="n">
        <v>47.97</v>
      </c>
      <c r="O36" t="n">
        <v>3822.82</v>
      </c>
      <c r="P36" t="n">
        <v>35.02</v>
      </c>
      <c r="Q36">
        <f>ROUND(L36*M36*N36/1000+O36+P36,2)</f>
        <v/>
      </c>
      <c r="R36" t="inlineStr">
        <is>
          <t>Yes</t>
        </is>
      </c>
      <c r="S36">
        <f>IF(OR(E36="",D36=""),"",MAX(0,E36-D36))</f>
        <v/>
      </c>
      <c r="T36" t="inlineStr">
        <is>
          <t>Yes</t>
        </is>
      </c>
      <c r="U36" t="n">
        <v>61</v>
      </c>
      <c r="V36" t="inlineStr">
        <is>
          <t>Failed</t>
        </is>
      </c>
      <c r="W36" t="n">
        <v>4</v>
      </c>
      <c r="X36" t="inlineStr">
        <is>
          <t>Customer Unavailable</t>
        </is>
      </c>
    </row>
    <row r="37">
      <c r="A37" t="inlineStr">
        <is>
          <t>ORD-2026-00036</t>
        </is>
      </c>
      <c r="B37" t="inlineStr">
        <is>
          <t>CUST-0109</t>
        </is>
      </c>
      <c r="C37" s="3" t="n">
        <v>46027</v>
      </c>
      <c r="D37" s="3" t="n">
        <v>46029</v>
      </c>
      <c r="E37" s="3" t="n">
        <v>46029</v>
      </c>
      <c r="F37" t="inlineStr">
        <is>
          <t>Surat</t>
        </is>
      </c>
      <c r="G37" t="inlineStr">
        <is>
          <t>Hyderabad</t>
        </is>
      </c>
      <c r="H37" t="inlineStr">
        <is>
          <t>FedEx</t>
        </is>
      </c>
      <c r="I37" t="inlineStr">
        <is>
          <t>Container</t>
        </is>
      </c>
      <c r="J37" t="inlineStr">
        <is>
          <t>High</t>
        </is>
      </c>
      <c r="K37" t="inlineStr">
        <is>
          <t>Delivered</t>
        </is>
      </c>
      <c r="L37" t="n">
        <v>608.64</v>
      </c>
      <c r="M37" t="n">
        <v>2724</v>
      </c>
      <c r="N37" t="n">
        <v>41.15</v>
      </c>
      <c r="O37" t="n">
        <v>3983.99</v>
      </c>
      <c r="P37" t="n">
        <v>805.76</v>
      </c>
      <c r="Q37">
        <f>ROUND(L37*M37*N37/1000+O37+P37,2)</f>
        <v/>
      </c>
      <c r="R37" t="inlineStr">
        <is>
          <t>Yes</t>
        </is>
      </c>
      <c r="S37">
        <f>IF(OR(E37="",D37=""),"",MAX(0,E37-D37))</f>
        <v/>
      </c>
      <c r="T37" t="inlineStr">
        <is>
          <t>No</t>
        </is>
      </c>
      <c r="U37" t="n">
        <v>33</v>
      </c>
      <c r="V37" t="inlineStr">
        <is>
          <t>Pending</t>
        </is>
      </c>
      <c r="W37" t="n">
        <v>1</v>
      </c>
      <c r="X37" t="inlineStr">
        <is>
          <t>Damaged Package</t>
        </is>
      </c>
    </row>
    <row r="38">
      <c r="A38" t="inlineStr">
        <is>
          <t>ORD-2026-00037</t>
        </is>
      </c>
      <c r="B38" t="inlineStr">
        <is>
          <t>CUST-0151</t>
        </is>
      </c>
      <c r="C38" s="3" t="n">
        <v>46072</v>
      </c>
      <c r="D38" s="3" t="n">
        <v>46078</v>
      </c>
      <c r="E38" s="3" t="n">
        <v>46078</v>
      </c>
      <c r="F38" t="inlineStr">
        <is>
          <t>Surat</t>
        </is>
      </c>
      <c r="G38" t="inlineStr">
        <is>
          <t>Kolkata</t>
        </is>
      </c>
      <c r="H38" t="inlineStr">
        <is>
          <t>FedEx</t>
        </is>
      </c>
      <c r="I38" t="inlineStr">
        <is>
          <t>Van</t>
        </is>
      </c>
      <c r="J38" t="inlineStr">
        <is>
          <t>Normal</t>
        </is>
      </c>
      <c r="K38" t="inlineStr">
        <is>
          <t>Delivered</t>
        </is>
      </c>
      <c r="L38" t="n">
        <v>1905.59</v>
      </c>
      <c r="M38" t="n">
        <v>763</v>
      </c>
      <c r="N38" t="n">
        <v>18.92</v>
      </c>
      <c r="O38" t="n">
        <v>2044.37</v>
      </c>
      <c r="P38" t="n">
        <v>429.22</v>
      </c>
      <c r="Q38">
        <f>ROUND(L38*M38*N38/1000+O38+P38,2)</f>
        <v/>
      </c>
      <c r="R38" t="inlineStr">
        <is>
          <t>Yes</t>
        </is>
      </c>
      <c r="S38">
        <f>IF(OR(E38="",D38=""),"",MAX(0,E38-D38))</f>
        <v/>
      </c>
      <c r="T38" t="inlineStr">
        <is>
          <t>No</t>
        </is>
      </c>
      <c r="U38" t="n">
        <v>30</v>
      </c>
      <c r="V38" t="inlineStr">
        <is>
          <t>COD</t>
        </is>
      </c>
      <c r="W38" t="n">
        <v>2</v>
      </c>
      <c r="X38" t="inlineStr">
        <is>
          <t>Vehicle Breakdown</t>
        </is>
      </c>
    </row>
    <row r="39">
      <c r="A39" t="inlineStr">
        <is>
          <t>ORD-2026-00038</t>
        </is>
      </c>
      <c r="B39" t="inlineStr">
        <is>
          <t>CUST-0004</t>
        </is>
      </c>
      <c r="C39" s="3" t="n">
        <v>46026</v>
      </c>
      <c r="D39" s="3" t="n">
        <v>46029</v>
      </c>
      <c r="E39" s="3" t="n">
        <v>46029</v>
      </c>
      <c r="F39" t="inlineStr">
        <is>
          <t>Kolkata</t>
        </is>
      </c>
      <c r="G39" t="inlineStr">
        <is>
          <t>Pune</t>
        </is>
      </c>
      <c r="H39" t="inlineStr">
        <is>
          <t>Delhivery</t>
        </is>
      </c>
      <c r="I39" t="inlineStr">
        <is>
          <t>Container</t>
        </is>
      </c>
      <c r="J39" t="inlineStr">
        <is>
          <t>Critical</t>
        </is>
      </c>
      <c r="K39" t="inlineStr">
        <is>
          <t>Delivered</t>
        </is>
      </c>
      <c r="L39" t="n">
        <v>1383.62</v>
      </c>
      <c r="M39" t="n">
        <v>522</v>
      </c>
      <c r="N39" t="n">
        <v>44.36</v>
      </c>
      <c r="O39" t="n">
        <v>2408.29</v>
      </c>
      <c r="P39" t="n">
        <v>171.83</v>
      </c>
      <c r="Q39">
        <f>ROUND(L39*M39*N39/1000+O39+P39,2)</f>
        <v/>
      </c>
      <c r="R39" t="inlineStr">
        <is>
          <t>Yes</t>
        </is>
      </c>
      <c r="S39">
        <f>IF(OR(E39="",D39=""),"",MAX(0,E39-D39))</f>
        <v/>
      </c>
      <c r="T39" t="inlineStr">
        <is>
          <t>No</t>
        </is>
      </c>
      <c r="U39" t="n">
        <v>24</v>
      </c>
      <c r="V39" t="inlineStr">
        <is>
          <t>Paid</t>
        </is>
      </c>
      <c r="W39" t="n">
        <v>3</v>
      </c>
      <c r="X39" t="inlineStr">
        <is>
          <t>Customer Unavailable</t>
        </is>
      </c>
    </row>
    <row r="40">
      <c r="A40" t="inlineStr">
        <is>
          <t>ORD-2026-00039</t>
        </is>
      </c>
      <c r="B40" t="inlineStr">
        <is>
          <t>CUST-0243</t>
        </is>
      </c>
      <c r="C40" s="3" t="n">
        <v>46145</v>
      </c>
      <c r="D40" s="3" t="n">
        <v>46147</v>
      </c>
      <c r="E40" s="3" t="n">
        <v>46149</v>
      </c>
      <c r="F40" t="inlineStr">
        <is>
          <t>Pune</t>
        </is>
      </c>
      <c r="G40" t="inlineStr">
        <is>
          <t>Mumbai</t>
        </is>
      </c>
      <c r="H40" t="inlineStr">
        <is>
          <t>DHL</t>
        </is>
      </c>
      <c r="I40" t="inlineStr">
        <is>
          <t>Van</t>
        </is>
      </c>
      <c r="J40" t="inlineStr">
        <is>
          <t>Critical</t>
        </is>
      </c>
      <c r="K40" t="inlineStr">
        <is>
          <t>Delivered</t>
        </is>
      </c>
      <c r="L40" t="n">
        <v>185.67</v>
      </c>
      <c r="M40" t="n">
        <v>2583</v>
      </c>
      <c r="N40" t="n">
        <v>47.13</v>
      </c>
      <c r="O40" t="n">
        <v>883.85</v>
      </c>
      <c r="P40" t="n">
        <v>1220.49</v>
      </c>
      <c r="Q40">
        <f>ROUND(L40*M40*N40/1000+O40+P40,2)</f>
        <v/>
      </c>
      <c r="R40" t="inlineStr">
        <is>
          <t>No</t>
        </is>
      </c>
      <c r="S40">
        <f>IF(OR(E40="",D40=""),"",MAX(0,E40-D40))</f>
        <v/>
      </c>
      <c r="T40" t="inlineStr">
        <is>
          <t>Yes</t>
        </is>
      </c>
      <c r="U40" t="n">
        <v>67</v>
      </c>
      <c r="V40" t="inlineStr">
        <is>
          <t>Failed</t>
        </is>
      </c>
      <c r="W40" t="n">
        <v>4</v>
      </c>
      <c r="X40" t="inlineStr">
        <is>
          <t>Weather</t>
        </is>
      </c>
    </row>
    <row r="41">
      <c r="A41" t="inlineStr">
        <is>
          <t>ORD-2026-00040</t>
        </is>
      </c>
      <c r="B41" t="inlineStr">
        <is>
          <t>CUST-0170</t>
        </is>
      </c>
      <c r="C41" s="3" t="n">
        <v>46099</v>
      </c>
      <c r="D41" s="3" t="n">
        <v>46106</v>
      </c>
      <c r="E41" s="3" t="n">
        <v>46106</v>
      </c>
      <c r="F41" t="inlineStr">
        <is>
          <t>Mumbai</t>
        </is>
      </c>
      <c r="G41" t="inlineStr">
        <is>
          <t>Delhi</t>
        </is>
      </c>
      <c r="H41" t="inlineStr">
        <is>
          <t>DHL</t>
        </is>
      </c>
      <c r="I41" t="inlineStr">
        <is>
          <t>Truck</t>
        </is>
      </c>
      <c r="J41" t="inlineStr">
        <is>
          <t>Low</t>
        </is>
      </c>
      <c r="K41" t="inlineStr">
        <is>
          <t>Delivered</t>
        </is>
      </c>
      <c r="L41" t="n">
        <v>1524.27</v>
      </c>
      <c r="M41" t="n">
        <v>411</v>
      </c>
      <c r="N41" t="n">
        <v>62.01</v>
      </c>
      <c r="O41" t="n">
        <v>1649.76</v>
      </c>
      <c r="P41" t="n">
        <v>332.32</v>
      </c>
      <c r="Q41">
        <f>ROUND(L41*M41*N41/1000+O41+P41,2)</f>
        <v/>
      </c>
      <c r="R41" t="inlineStr">
        <is>
          <t>Yes</t>
        </is>
      </c>
      <c r="S41">
        <f>IF(OR(E41="",D41=""),"",MAX(0,E41-D41))</f>
        <v/>
      </c>
      <c r="T41" t="inlineStr">
        <is>
          <t>Yes</t>
        </is>
      </c>
      <c r="U41" t="n">
        <v>1</v>
      </c>
      <c r="V41" t="inlineStr">
        <is>
          <t>Failed</t>
        </is>
      </c>
      <c r="W41" t="n">
        <v>4</v>
      </c>
      <c r="X41" t="inlineStr">
        <is>
          <t>Damaged Package</t>
        </is>
      </c>
    </row>
    <row r="42">
      <c r="A42" t="inlineStr">
        <is>
          <t>ORD-2026-00041</t>
        </is>
      </c>
      <c r="B42" t="inlineStr">
        <is>
          <t>CUST-0203</t>
        </is>
      </c>
      <c r="C42" s="3" t="n">
        <v>46175</v>
      </c>
      <c r="D42" s="3" t="n">
        <v>46183</v>
      </c>
      <c r="E42" s="3" t="n">
        <v>46183</v>
      </c>
      <c r="F42" t="inlineStr">
        <is>
          <t>Kolkata</t>
        </is>
      </c>
      <c r="G42" t="inlineStr">
        <is>
          <t>Bengaluru</t>
        </is>
      </c>
      <c r="H42" t="inlineStr">
        <is>
          <t>Delhivery</t>
        </is>
      </c>
      <c r="I42" t="inlineStr">
        <is>
          <t>Van</t>
        </is>
      </c>
      <c r="J42" t="inlineStr">
        <is>
          <t>Normal</t>
        </is>
      </c>
      <c r="K42" t="inlineStr">
        <is>
          <t>Delivered</t>
        </is>
      </c>
      <c r="L42" t="n">
        <v>1767.54</v>
      </c>
      <c r="M42" t="n">
        <v>1864</v>
      </c>
      <c r="N42" t="n">
        <v>12.06</v>
      </c>
      <c r="O42" t="n">
        <v>1748.51</v>
      </c>
      <c r="P42" t="n">
        <v>411.54</v>
      </c>
      <c r="Q42">
        <f>ROUND(L42*M42*N42/1000+O42+P42,2)</f>
        <v/>
      </c>
      <c r="R42" t="inlineStr">
        <is>
          <t>Yes</t>
        </is>
      </c>
      <c r="S42">
        <f>IF(OR(E42="",D42=""),"",MAX(0,E42-D42))</f>
        <v/>
      </c>
      <c r="T42" t="inlineStr">
        <is>
          <t>Yes</t>
        </is>
      </c>
      <c r="U42" t="n">
        <v>35</v>
      </c>
      <c r="V42" t="inlineStr">
        <is>
          <t>Pending</t>
        </is>
      </c>
      <c r="W42" t="n">
        <v>1</v>
      </c>
      <c r="X42" t="inlineStr">
        <is>
          <t>None</t>
        </is>
      </c>
    </row>
    <row r="43">
      <c r="A43" t="inlineStr">
        <is>
          <t>ORD-2026-00042</t>
        </is>
      </c>
      <c r="B43" t="inlineStr">
        <is>
          <t>CUST-0242</t>
        </is>
      </c>
      <c r="C43" s="3" t="n">
        <v>46065</v>
      </c>
      <c r="D43" s="3" t="n">
        <v>46070</v>
      </c>
      <c r="E43" s="3" t="n">
        <v>46071</v>
      </c>
      <c r="F43" t="inlineStr">
        <is>
          <t>Pune</t>
        </is>
      </c>
      <c r="G43" t="inlineStr">
        <is>
          <t>Surat</t>
        </is>
      </c>
      <c r="H43" t="inlineStr">
        <is>
          <t>DTDC</t>
        </is>
      </c>
      <c r="I43" t="inlineStr">
        <is>
          <t>Container</t>
        </is>
      </c>
      <c r="J43" t="inlineStr">
        <is>
          <t>Critical</t>
        </is>
      </c>
      <c r="K43" t="inlineStr">
        <is>
          <t>Delivered</t>
        </is>
      </c>
      <c r="L43" t="n">
        <v>2303.02</v>
      </c>
      <c r="M43" t="n">
        <v>1803</v>
      </c>
      <c r="N43" t="n">
        <v>15.09</v>
      </c>
      <c r="O43" t="n">
        <v>4468.87</v>
      </c>
      <c r="P43" t="n">
        <v>1055.61</v>
      </c>
      <c r="Q43">
        <f>ROUND(L43*M43*N43/1000+O43+P43,2)</f>
        <v/>
      </c>
      <c r="R43" t="inlineStr">
        <is>
          <t>No</t>
        </is>
      </c>
      <c r="S43">
        <f>IF(OR(E43="",D43=""),"",MAX(0,E43-D43))</f>
        <v/>
      </c>
      <c r="T43" t="inlineStr">
        <is>
          <t>Yes</t>
        </is>
      </c>
      <c r="U43" t="n">
        <v>77</v>
      </c>
      <c r="V43" t="inlineStr">
        <is>
          <t>Paid</t>
        </is>
      </c>
      <c r="W43" t="n">
        <v>4</v>
      </c>
      <c r="X43" t="inlineStr">
        <is>
          <t>Damaged Package</t>
        </is>
      </c>
    </row>
    <row r="44">
      <c r="A44" t="inlineStr">
        <is>
          <t>ORD-2026-00043</t>
        </is>
      </c>
      <c r="B44" t="inlineStr">
        <is>
          <t>CUST-0211</t>
        </is>
      </c>
      <c r="C44" s="3" t="n">
        <v>46105</v>
      </c>
      <c r="D44" s="3" t="n">
        <v>46110</v>
      </c>
      <c r="E44" s="3" t="n">
        <v>46110</v>
      </c>
      <c r="F44" t="inlineStr">
        <is>
          <t>Pune</t>
        </is>
      </c>
      <c r="G44" t="inlineStr">
        <is>
          <t>Kolkata</t>
        </is>
      </c>
      <c r="H44" t="inlineStr">
        <is>
          <t>BlueDart</t>
        </is>
      </c>
      <c r="I44" t="inlineStr">
        <is>
          <t>Truck</t>
        </is>
      </c>
      <c r="J44" t="inlineStr">
        <is>
          <t>Critical</t>
        </is>
      </c>
      <c r="K44" t="inlineStr">
        <is>
          <t>Delivered</t>
        </is>
      </c>
      <c r="L44" t="n">
        <v>1685.91</v>
      </c>
      <c r="M44" t="n">
        <v>2361</v>
      </c>
      <c r="N44" t="n">
        <v>41.47</v>
      </c>
      <c r="O44" t="n">
        <v>5157.52</v>
      </c>
      <c r="P44" t="n">
        <v>1151.85</v>
      </c>
      <c r="Q44">
        <f>ROUND(L44*M44*N44/1000+O44+P44,2)</f>
        <v/>
      </c>
      <c r="R44" t="inlineStr">
        <is>
          <t>Yes</t>
        </is>
      </c>
      <c r="S44">
        <f>IF(OR(E44="",D44=""),"",MAX(0,E44-D44))</f>
        <v/>
      </c>
      <c r="T44" t="inlineStr">
        <is>
          <t>No</t>
        </is>
      </c>
      <c r="U44" t="n">
        <v>36</v>
      </c>
      <c r="V44" t="inlineStr">
        <is>
          <t>Pending</t>
        </is>
      </c>
      <c r="W44" t="n">
        <v>5</v>
      </c>
      <c r="X44" t="inlineStr">
        <is>
          <t>Weather</t>
        </is>
      </c>
    </row>
    <row r="45">
      <c r="A45" t="inlineStr">
        <is>
          <t>ORD-2026-00044</t>
        </is>
      </c>
      <c r="B45" t="inlineStr">
        <is>
          <t>CUST-0178</t>
        </is>
      </c>
      <c r="C45" s="3" t="n">
        <v>46185</v>
      </c>
      <c r="D45" s="3" t="n">
        <v>46193</v>
      </c>
      <c r="E45" s="3" t="n">
        <v>46203</v>
      </c>
      <c r="F45" t="inlineStr">
        <is>
          <t>Jaipur</t>
        </is>
      </c>
      <c r="G45" t="inlineStr">
        <is>
          <t>Pune</t>
        </is>
      </c>
      <c r="H45" t="inlineStr">
        <is>
          <t>Maersk</t>
        </is>
      </c>
      <c r="I45" t="inlineStr">
        <is>
          <t>Container</t>
        </is>
      </c>
      <c r="J45" t="inlineStr">
        <is>
          <t>Low</t>
        </is>
      </c>
      <c r="K45" t="inlineStr">
        <is>
          <t>Delivered</t>
        </is>
      </c>
      <c r="L45" t="n">
        <v>1021.17</v>
      </c>
      <c r="M45" t="n">
        <v>1320</v>
      </c>
      <c r="N45" t="n">
        <v>46.2</v>
      </c>
      <c r="O45" t="n">
        <v>5073.17</v>
      </c>
      <c r="P45" t="n">
        <v>508.11</v>
      </c>
      <c r="Q45">
        <f>ROUND(L45*M45*N45/1000+O45+P45,2)</f>
        <v/>
      </c>
      <c r="R45" t="inlineStr">
        <is>
          <t>No</t>
        </is>
      </c>
      <c r="S45">
        <f>IF(OR(E45="",D45=""),"",MAX(0,E45-D45))</f>
        <v/>
      </c>
      <c r="T45" t="inlineStr">
        <is>
          <t>No</t>
        </is>
      </c>
      <c r="U45" t="n">
        <v>12</v>
      </c>
      <c r="V45" t="inlineStr">
        <is>
          <t>COD</t>
        </is>
      </c>
      <c r="W45" t="n">
        <v>3</v>
      </c>
      <c r="X45" t="inlineStr">
        <is>
          <t>Vehicle Breakdown</t>
        </is>
      </c>
    </row>
    <row r="46">
      <c r="A46" t="inlineStr">
        <is>
          <t>ORD-2026-00045</t>
        </is>
      </c>
      <c r="B46" t="inlineStr">
        <is>
          <t>CUST-0160</t>
        </is>
      </c>
      <c r="C46" s="3" t="n">
        <v>46052</v>
      </c>
      <c r="D46" s="3" t="n">
        <v>46059</v>
      </c>
      <c r="E46" s="3" t="n">
        <v>46062</v>
      </c>
      <c r="F46" t="inlineStr">
        <is>
          <t>Jaipur</t>
        </is>
      </c>
      <c r="G46" t="inlineStr">
        <is>
          <t>Jaipur</t>
        </is>
      </c>
      <c r="H46" t="inlineStr">
        <is>
          <t>Aramex</t>
        </is>
      </c>
      <c r="I46" t="inlineStr">
        <is>
          <t>Van</t>
        </is>
      </c>
      <c r="J46" t="inlineStr">
        <is>
          <t>Normal</t>
        </is>
      </c>
      <c r="K46" t="inlineStr">
        <is>
          <t>Delivered</t>
        </is>
      </c>
      <c r="L46" t="n">
        <v>3.38</v>
      </c>
      <c r="M46" t="n">
        <v>2227</v>
      </c>
      <c r="N46" t="n">
        <v>34.33</v>
      </c>
      <c r="O46" t="n">
        <v>8.59</v>
      </c>
      <c r="P46" t="n">
        <v>787.29</v>
      </c>
      <c r="Q46">
        <f>ROUND(L46*M46*N46/1000+O46+P46,2)</f>
        <v/>
      </c>
      <c r="R46" t="inlineStr">
        <is>
          <t>No</t>
        </is>
      </c>
      <c r="S46">
        <f>IF(OR(E46="",D46=""),"",MAX(0,E46-D46))</f>
        <v/>
      </c>
      <c r="T46" t="inlineStr">
        <is>
          <t>No</t>
        </is>
      </c>
      <c r="U46" t="n">
        <v>71</v>
      </c>
      <c r="V46" t="inlineStr">
        <is>
          <t>Pending</t>
        </is>
      </c>
      <c r="W46" t="n">
        <v>3</v>
      </c>
      <c r="X46" t="inlineStr">
        <is>
          <t>Weather</t>
        </is>
      </c>
    </row>
    <row r="47">
      <c r="A47" t="inlineStr">
        <is>
          <t>ORD-2026-00046</t>
        </is>
      </c>
      <c r="B47" t="inlineStr">
        <is>
          <t>CUST-0105</t>
        </is>
      </c>
      <c r="C47" s="3" t="n">
        <v>46201</v>
      </c>
      <c r="D47" s="3" t="n">
        <v>46209</v>
      </c>
      <c r="E47" s="3" t="n">
        <v>46209</v>
      </c>
      <c r="F47" t="inlineStr">
        <is>
          <t>Mumbai</t>
        </is>
      </c>
      <c r="G47" t="inlineStr">
        <is>
          <t>Bengaluru</t>
        </is>
      </c>
      <c r="H47" t="inlineStr">
        <is>
          <t>Aramex</t>
        </is>
      </c>
      <c r="I47" t="inlineStr">
        <is>
          <t>Van</t>
        </is>
      </c>
      <c r="J47" t="inlineStr">
        <is>
          <t>Critical</t>
        </is>
      </c>
      <c r="K47" t="inlineStr">
        <is>
          <t>Delivered</t>
        </is>
      </c>
      <c r="L47" t="n">
        <v>1522.37</v>
      </c>
      <c r="M47" t="n">
        <v>985</v>
      </c>
      <c r="N47" t="n">
        <v>48.46</v>
      </c>
      <c r="O47" t="n">
        <v>3534.91</v>
      </c>
      <c r="P47" t="n">
        <v>40.24</v>
      </c>
      <c r="Q47">
        <f>ROUND(L47*M47*N47/1000+O47+P47,2)</f>
        <v/>
      </c>
      <c r="R47" t="inlineStr">
        <is>
          <t>Yes</t>
        </is>
      </c>
      <c r="S47">
        <f>IF(OR(E47="",D47=""),"",MAX(0,E47-D47))</f>
        <v/>
      </c>
      <c r="T47" t="inlineStr">
        <is>
          <t>Yes</t>
        </is>
      </c>
      <c r="U47" t="n">
        <v>20</v>
      </c>
      <c r="V47" t="inlineStr">
        <is>
          <t>Failed</t>
        </is>
      </c>
      <c r="W47" t="n">
        <v>3</v>
      </c>
      <c r="X47" t="inlineStr">
        <is>
          <t>Customs</t>
        </is>
      </c>
    </row>
    <row r="48">
      <c r="A48" t="inlineStr">
        <is>
          <t>ORD-2026-00047</t>
        </is>
      </c>
      <c r="B48" t="inlineStr">
        <is>
          <t>CUST-0131</t>
        </is>
      </c>
      <c r="C48" s="3" t="n">
        <v>46203</v>
      </c>
      <c r="D48" s="3" t="n">
        <v>46208</v>
      </c>
      <c r="E48" s="3" t="n">
        <v>46208</v>
      </c>
      <c r="F48" t="inlineStr">
        <is>
          <t>Delhi</t>
        </is>
      </c>
      <c r="G48" t="inlineStr">
        <is>
          <t>Mumbai</t>
        </is>
      </c>
      <c r="H48" t="inlineStr">
        <is>
          <t>FedEx</t>
        </is>
      </c>
      <c r="I48" t="inlineStr">
        <is>
          <t>Container</t>
        </is>
      </c>
      <c r="J48" t="inlineStr">
        <is>
          <t>High</t>
        </is>
      </c>
      <c r="K48" t="inlineStr">
        <is>
          <t>Delivered</t>
        </is>
      </c>
      <c r="L48" t="n">
        <v>1180.81</v>
      </c>
      <c r="M48" t="n">
        <v>1875</v>
      </c>
      <c r="N48" t="n">
        <v>39.42</v>
      </c>
      <c r="O48" t="n">
        <v>4626.98</v>
      </c>
      <c r="P48" t="n">
        <v>1384.36</v>
      </c>
      <c r="Q48">
        <f>ROUND(L48*M48*N48/1000+O48+P48,2)</f>
        <v/>
      </c>
      <c r="R48" t="inlineStr">
        <is>
          <t>Yes</t>
        </is>
      </c>
      <c r="S48">
        <f>IF(OR(E48="",D48=""),"",MAX(0,E48-D48))</f>
        <v/>
      </c>
      <c r="T48" t="inlineStr">
        <is>
          <t>No</t>
        </is>
      </c>
      <c r="U48" t="n">
        <v>1</v>
      </c>
      <c r="V48" t="inlineStr">
        <is>
          <t>COD</t>
        </is>
      </c>
      <c r="W48" t="n">
        <v>3</v>
      </c>
      <c r="X48" t="inlineStr">
        <is>
          <t>Customer Unavailable</t>
        </is>
      </c>
    </row>
    <row r="49">
      <c r="A49" t="inlineStr">
        <is>
          <t>ORD-2026-00048</t>
        </is>
      </c>
      <c r="B49" t="inlineStr">
        <is>
          <t>CUST-0083</t>
        </is>
      </c>
      <c r="C49" s="3" t="n">
        <v>46173</v>
      </c>
      <c r="D49" s="3" t="n">
        <v>46181</v>
      </c>
      <c r="E49" s="3" t="n">
        <v>46184</v>
      </c>
      <c r="F49" t="inlineStr">
        <is>
          <t>Bengaluru</t>
        </is>
      </c>
      <c r="G49" t="inlineStr">
        <is>
          <t>Bengaluru</t>
        </is>
      </c>
      <c r="H49" t="inlineStr">
        <is>
          <t>DTDC</t>
        </is>
      </c>
      <c r="I49" t="inlineStr">
        <is>
          <t>Container</t>
        </is>
      </c>
      <c r="J49" t="inlineStr">
        <is>
          <t>Normal</t>
        </is>
      </c>
      <c r="K49" t="inlineStr">
        <is>
          <t>Delivered</t>
        </is>
      </c>
      <c r="L49" t="n">
        <v>1211.11</v>
      </c>
      <c r="M49" t="n">
        <v>1366</v>
      </c>
      <c r="N49" t="n">
        <v>39.46</v>
      </c>
      <c r="O49" t="n">
        <v>4087.01</v>
      </c>
      <c r="P49" t="n">
        <v>693.91</v>
      </c>
      <c r="Q49">
        <f>ROUND(L49*M49*N49/1000+O49+P49,2)</f>
        <v/>
      </c>
      <c r="R49" t="inlineStr">
        <is>
          <t>No</t>
        </is>
      </c>
      <c r="S49">
        <f>IF(OR(E49="",D49=""),"",MAX(0,E49-D49))</f>
        <v/>
      </c>
      <c r="T49" t="inlineStr">
        <is>
          <t>No</t>
        </is>
      </c>
      <c r="U49" t="n">
        <v>6</v>
      </c>
      <c r="V49" t="inlineStr">
        <is>
          <t>COD</t>
        </is>
      </c>
      <c r="W49" t="n">
        <v>4</v>
      </c>
      <c r="X49" t="inlineStr">
        <is>
          <t>Damaged Package</t>
        </is>
      </c>
    </row>
    <row r="50">
      <c r="A50" t="inlineStr">
        <is>
          <t>ORD-2026-00049</t>
        </is>
      </c>
      <c r="B50" t="inlineStr">
        <is>
          <t>CUST-0152</t>
        </is>
      </c>
      <c r="C50" s="3" t="n">
        <v>46230</v>
      </c>
      <c r="D50" s="3" t="n">
        <v>46237</v>
      </c>
      <c r="E50" s="3" t="n">
        <v>46237</v>
      </c>
      <c r="F50" t="inlineStr">
        <is>
          <t>Hyderabad</t>
        </is>
      </c>
      <c r="G50" t="inlineStr">
        <is>
          <t>Mumbai</t>
        </is>
      </c>
      <c r="H50" t="inlineStr">
        <is>
          <t>Aramex</t>
        </is>
      </c>
      <c r="I50" t="inlineStr">
        <is>
          <t>Container</t>
        </is>
      </c>
      <c r="J50" t="inlineStr">
        <is>
          <t>Low</t>
        </is>
      </c>
      <c r="K50" t="inlineStr">
        <is>
          <t>Delivered</t>
        </is>
      </c>
      <c r="L50" t="n">
        <v>2051.96</v>
      </c>
      <c r="M50" t="n">
        <v>628</v>
      </c>
      <c r="N50" t="n">
        <v>36.23</v>
      </c>
      <c r="O50" t="n">
        <v>1504.31</v>
      </c>
      <c r="P50" t="n">
        <v>763.39</v>
      </c>
      <c r="Q50">
        <f>ROUND(L50*M50*N50/1000+O50+P50,2)</f>
        <v/>
      </c>
      <c r="R50" t="inlineStr">
        <is>
          <t>Yes</t>
        </is>
      </c>
      <c r="S50">
        <f>IF(OR(E50="",D50=""),"",MAX(0,E50-D50))</f>
        <v/>
      </c>
      <c r="T50" t="inlineStr">
        <is>
          <t>No</t>
        </is>
      </c>
      <c r="U50" t="n">
        <v>2</v>
      </c>
      <c r="V50" t="inlineStr">
        <is>
          <t>Pending</t>
        </is>
      </c>
      <c r="W50" t="n">
        <v>4</v>
      </c>
      <c r="X50" t="inlineStr">
        <is>
          <t>Customer Unavailable</t>
        </is>
      </c>
    </row>
    <row r="51">
      <c r="A51" t="inlineStr">
        <is>
          <t>ORD-2026-00050</t>
        </is>
      </c>
      <c r="B51" t="inlineStr">
        <is>
          <t>CUST-0219</t>
        </is>
      </c>
      <c r="C51" s="3" t="n">
        <v>46190</v>
      </c>
      <c r="D51" s="3" t="n">
        <v>46193</v>
      </c>
      <c r="E51" s="3" t="n">
        <v>46193</v>
      </c>
      <c r="F51" t="inlineStr">
        <is>
          <t>Surat</t>
        </is>
      </c>
      <c r="G51" t="inlineStr">
        <is>
          <t>Chennai</t>
        </is>
      </c>
      <c r="H51" t="inlineStr">
        <is>
          <t>FedEx</t>
        </is>
      </c>
      <c r="I51" t="inlineStr">
        <is>
          <t>Container</t>
        </is>
      </c>
      <c r="J51" t="inlineStr">
        <is>
          <t>Low</t>
        </is>
      </c>
      <c r="K51" t="inlineStr">
        <is>
          <t>Delivered</t>
        </is>
      </c>
      <c r="L51" t="n">
        <v>662.92</v>
      </c>
      <c r="M51" t="n">
        <v>2557</v>
      </c>
      <c r="N51" t="n">
        <v>47.48</v>
      </c>
      <c r="O51" t="n">
        <v>5552.52</v>
      </c>
      <c r="P51" t="n">
        <v>1280.61</v>
      </c>
      <c r="Q51">
        <f>ROUND(L51*M51*N51/1000+O51+P51,2)</f>
        <v/>
      </c>
      <c r="R51" t="inlineStr">
        <is>
          <t>Yes</t>
        </is>
      </c>
      <c r="S51">
        <f>IF(OR(E51="",D51=""),"",MAX(0,E51-D51))</f>
        <v/>
      </c>
      <c r="T51" t="inlineStr">
        <is>
          <t>Yes</t>
        </is>
      </c>
      <c r="U51" t="n">
        <v>31</v>
      </c>
      <c r="V51" t="inlineStr">
        <is>
          <t>COD</t>
        </is>
      </c>
      <c r="W51" t="n">
        <v>2</v>
      </c>
      <c r="X51" t="inlineStr">
        <is>
          <t>Damaged Package</t>
        </is>
      </c>
    </row>
    <row r="52">
      <c r="A52" t="inlineStr">
        <is>
          <t>ORD-2026-00051</t>
        </is>
      </c>
      <c r="B52" t="inlineStr">
        <is>
          <t>CUST-0012</t>
        </is>
      </c>
      <c r="C52" s="3" t="n">
        <v>46046</v>
      </c>
      <c r="D52" s="3" t="n">
        <v>46053</v>
      </c>
      <c r="E52" s="3" t="n">
        <v>46063</v>
      </c>
      <c r="F52" t="inlineStr">
        <is>
          <t>Hyderabad</t>
        </is>
      </c>
      <c r="G52" t="inlineStr">
        <is>
          <t>Ahmedabad</t>
        </is>
      </c>
      <c r="H52" t="inlineStr">
        <is>
          <t>FedEx</t>
        </is>
      </c>
      <c r="I52" t="inlineStr">
        <is>
          <t>Refrigerated Truck</t>
        </is>
      </c>
      <c r="J52" t="inlineStr">
        <is>
          <t>High</t>
        </is>
      </c>
      <c r="K52" t="inlineStr">
        <is>
          <t>Delivered</t>
        </is>
      </c>
      <c r="L52" t="n">
        <v>1759.88</v>
      </c>
      <c r="M52" t="n">
        <v>416</v>
      </c>
      <c r="N52" t="n">
        <v>33.29</v>
      </c>
      <c r="O52" t="n">
        <v>1746.01</v>
      </c>
      <c r="P52" t="n">
        <v>1357.07</v>
      </c>
      <c r="Q52">
        <f>ROUND(L52*M52*N52/1000+O52+P52,2)</f>
        <v/>
      </c>
      <c r="R52" t="inlineStr">
        <is>
          <t>No</t>
        </is>
      </c>
      <c r="S52">
        <f>IF(OR(E52="",D52=""),"",MAX(0,E52-D52))</f>
        <v/>
      </c>
      <c r="T52" t="inlineStr">
        <is>
          <t>No</t>
        </is>
      </c>
      <c r="U52" t="n">
        <v>19</v>
      </c>
      <c r="V52" t="inlineStr">
        <is>
          <t>Pending</t>
        </is>
      </c>
      <c r="W52" t="n">
        <v>5</v>
      </c>
      <c r="X52" t="inlineStr">
        <is>
          <t>Weather</t>
        </is>
      </c>
    </row>
    <row r="53">
      <c r="A53" t="inlineStr">
        <is>
          <t>ORD-2026-00052</t>
        </is>
      </c>
      <c r="B53" t="inlineStr">
        <is>
          <t>CUST-0164</t>
        </is>
      </c>
      <c r="C53" s="3" t="n">
        <v>46167</v>
      </c>
      <c r="D53" s="3" t="n">
        <v>46170</v>
      </c>
      <c r="E53" s="3" t="n"/>
      <c r="F53" t="inlineStr">
        <is>
          <t>Pune</t>
        </is>
      </c>
      <c r="G53" t="inlineStr">
        <is>
          <t>Jaipur</t>
        </is>
      </c>
      <c r="H53" t="inlineStr">
        <is>
          <t>FedEx</t>
        </is>
      </c>
      <c r="I53" t="inlineStr">
        <is>
          <t>Van</t>
        </is>
      </c>
      <c r="J53" t="inlineStr">
        <is>
          <t>Critical</t>
        </is>
      </c>
      <c r="K53" t="inlineStr">
        <is>
          <t>Exception</t>
        </is>
      </c>
      <c r="L53" t="n">
        <v>1549.47</v>
      </c>
      <c r="M53" t="n">
        <v>991</v>
      </c>
      <c r="N53" t="n">
        <v>36.37</v>
      </c>
      <c r="O53" t="n">
        <v>3629.47</v>
      </c>
      <c r="P53" t="n">
        <v>363.64</v>
      </c>
      <c r="Q53">
        <f>ROUND(L53*M53*N53/1000+O53+P53,2)</f>
        <v/>
      </c>
      <c r="R53" t="inlineStr">
        <is>
          <t>No</t>
        </is>
      </c>
      <c r="S53">
        <f>IF(OR(E53="",D53=""),"",MAX(0,E53-D53))</f>
        <v/>
      </c>
      <c r="T53" t="inlineStr">
        <is>
          <t>No</t>
        </is>
      </c>
      <c r="U53" t="n">
        <v>70</v>
      </c>
      <c r="V53" t="inlineStr">
        <is>
          <t>Pending</t>
        </is>
      </c>
      <c r="W53" t="n">
        <v>1</v>
      </c>
      <c r="X53" t="inlineStr">
        <is>
          <t>Weather</t>
        </is>
      </c>
    </row>
    <row r="54">
      <c r="A54" t="inlineStr">
        <is>
          <t>ORD-2026-00053</t>
        </is>
      </c>
      <c r="B54" t="inlineStr">
        <is>
          <t>CUST-0061</t>
        </is>
      </c>
      <c r="C54" s="3" t="n">
        <v>46111</v>
      </c>
      <c r="D54" s="3" t="n">
        <v>46116</v>
      </c>
      <c r="E54" s="3" t="n">
        <v>46117</v>
      </c>
      <c r="F54" t="inlineStr">
        <is>
          <t>Chennai</t>
        </is>
      </c>
      <c r="G54" t="inlineStr">
        <is>
          <t>Kolkata</t>
        </is>
      </c>
      <c r="H54" t="inlineStr">
        <is>
          <t>FedEx</t>
        </is>
      </c>
      <c r="I54" t="inlineStr">
        <is>
          <t>Bike</t>
        </is>
      </c>
      <c r="J54" t="inlineStr">
        <is>
          <t>High</t>
        </is>
      </c>
      <c r="K54" t="inlineStr">
        <is>
          <t>Delivered</t>
        </is>
      </c>
      <c r="L54" t="n">
        <v>625.62</v>
      </c>
      <c r="M54" t="n">
        <v>1242</v>
      </c>
      <c r="N54" t="n">
        <v>19.36</v>
      </c>
      <c r="O54" t="n">
        <v>798.51</v>
      </c>
      <c r="P54" t="n">
        <v>735.15</v>
      </c>
      <c r="Q54">
        <f>ROUND(L54*M54*N54/1000+O54+P54,2)</f>
        <v/>
      </c>
      <c r="R54" t="inlineStr">
        <is>
          <t>No</t>
        </is>
      </c>
      <c r="S54">
        <f>IF(OR(E54="",D54=""),"",MAX(0,E54-D54))</f>
        <v/>
      </c>
      <c r="T54" t="inlineStr">
        <is>
          <t>No</t>
        </is>
      </c>
      <c r="U54" t="n">
        <v>3</v>
      </c>
      <c r="V54" t="inlineStr">
        <is>
          <t>Failed</t>
        </is>
      </c>
      <c r="W54" t="n">
        <v>3</v>
      </c>
      <c r="X54" t="inlineStr">
        <is>
          <t>None</t>
        </is>
      </c>
    </row>
    <row r="55">
      <c r="A55" t="inlineStr">
        <is>
          <t>ORD-2026-00054</t>
        </is>
      </c>
      <c r="B55" t="inlineStr">
        <is>
          <t>CUST-0057</t>
        </is>
      </c>
      <c r="C55" s="3" t="n">
        <v>46167</v>
      </c>
      <c r="D55" s="3" t="n">
        <v>46168</v>
      </c>
      <c r="E55" s="3" t="n">
        <v>46173</v>
      </c>
      <c r="F55" t="inlineStr">
        <is>
          <t>Bengaluru</t>
        </is>
      </c>
      <c r="G55" t="inlineStr">
        <is>
          <t>Kolkata</t>
        </is>
      </c>
      <c r="H55" t="inlineStr">
        <is>
          <t>FedEx</t>
        </is>
      </c>
      <c r="I55" t="inlineStr">
        <is>
          <t>Truck</t>
        </is>
      </c>
      <c r="J55" t="inlineStr">
        <is>
          <t>Low</t>
        </is>
      </c>
      <c r="K55" t="inlineStr">
        <is>
          <t>Delivered</t>
        </is>
      </c>
      <c r="L55" t="n">
        <v>2082.18</v>
      </c>
      <c r="M55" t="n">
        <v>1177</v>
      </c>
      <c r="N55" t="n">
        <v>52.22</v>
      </c>
      <c r="O55" t="n">
        <v>5606.3</v>
      </c>
      <c r="P55" t="n">
        <v>1206.86</v>
      </c>
      <c r="Q55">
        <f>ROUND(L55*M55*N55/1000+O55+P55,2)</f>
        <v/>
      </c>
      <c r="R55" t="inlineStr">
        <is>
          <t>No</t>
        </is>
      </c>
      <c r="S55">
        <f>IF(OR(E55="",D55=""),"",MAX(0,E55-D55))</f>
        <v/>
      </c>
      <c r="T55" t="inlineStr">
        <is>
          <t>Yes</t>
        </is>
      </c>
      <c r="U55" t="n">
        <v>40</v>
      </c>
      <c r="V55" t="inlineStr">
        <is>
          <t>Failed</t>
        </is>
      </c>
      <c r="W55" t="n">
        <v>1</v>
      </c>
      <c r="X55" t="inlineStr">
        <is>
          <t>Customs</t>
        </is>
      </c>
    </row>
    <row r="56">
      <c r="A56" t="inlineStr">
        <is>
          <t>ORD-2026-00055</t>
        </is>
      </c>
      <c r="B56" t="inlineStr">
        <is>
          <t>CUST-0094</t>
        </is>
      </c>
      <c r="C56" s="3" t="n">
        <v>46116</v>
      </c>
      <c r="D56" s="3" t="n">
        <v>46119</v>
      </c>
      <c r="E56" s="3" t="n">
        <v>46119</v>
      </c>
      <c r="F56" t="inlineStr">
        <is>
          <t>Surat</t>
        </is>
      </c>
      <c r="G56" t="inlineStr">
        <is>
          <t>Surat</t>
        </is>
      </c>
      <c r="H56" t="inlineStr">
        <is>
          <t>FedEx</t>
        </is>
      </c>
      <c r="I56" t="inlineStr">
        <is>
          <t>Truck</t>
        </is>
      </c>
      <c r="J56" t="inlineStr">
        <is>
          <t>High</t>
        </is>
      </c>
      <c r="K56" t="inlineStr">
        <is>
          <t>Delivered</t>
        </is>
      </c>
      <c r="L56" t="n">
        <v>1868.83</v>
      </c>
      <c r="M56" t="n">
        <v>724</v>
      </c>
      <c r="N56" t="n">
        <v>19.45</v>
      </c>
      <c r="O56" t="n">
        <v>2031.39</v>
      </c>
      <c r="P56" t="n">
        <v>1317.16</v>
      </c>
      <c r="Q56">
        <f>ROUND(L56*M56*N56/1000+O56+P56,2)</f>
        <v/>
      </c>
      <c r="R56" t="inlineStr">
        <is>
          <t>Yes</t>
        </is>
      </c>
      <c r="S56">
        <f>IF(OR(E56="",D56=""),"",MAX(0,E56-D56))</f>
        <v/>
      </c>
      <c r="T56" t="inlineStr">
        <is>
          <t>No</t>
        </is>
      </c>
      <c r="U56" t="n">
        <v>38</v>
      </c>
      <c r="V56" t="inlineStr">
        <is>
          <t>COD</t>
        </is>
      </c>
      <c r="W56" t="n">
        <v>1</v>
      </c>
      <c r="X56" t="inlineStr">
        <is>
          <t>Weather</t>
        </is>
      </c>
    </row>
    <row r="57">
      <c r="A57" t="inlineStr">
        <is>
          <t>ORD-2026-00056</t>
        </is>
      </c>
      <c r="B57" t="inlineStr">
        <is>
          <t>CUST-0094</t>
        </is>
      </c>
      <c r="C57" s="3" t="n">
        <v>46042</v>
      </c>
      <c r="D57" s="3" t="n">
        <v>46045</v>
      </c>
      <c r="E57" s="3" t="n">
        <v>46047</v>
      </c>
      <c r="F57" t="inlineStr">
        <is>
          <t>Mumbai</t>
        </is>
      </c>
      <c r="G57" t="inlineStr">
        <is>
          <t>Chennai</t>
        </is>
      </c>
      <c r="H57" t="inlineStr">
        <is>
          <t>BlueDart</t>
        </is>
      </c>
      <c r="I57" t="inlineStr">
        <is>
          <t>Refrigerated Truck</t>
        </is>
      </c>
      <c r="J57" t="inlineStr">
        <is>
          <t>Low</t>
        </is>
      </c>
      <c r="K57" t="inlineStr">
        <is>
          <t>Delivered</t>
        </is>
      </c>
      <c r="L57" t="n">
        <v>1690.97</v>
      </c>
      <c r="M57" t="n">
        <v>2767</v>
      </c>
      <c r="N57" t="n">
        <v>63.86</v>
      </c>
      <c r="O57" t="n">
        <v>26304.81</v>
      </c>
      <c r="P57" t="n">
        <v>1210.79</v>
      </c>
      <c r="Q57">
        <f>ROUND(L57*M57*N57/1000+O57+P57,2)</f>
        <v/>
      </c>
      <c r="R57" t="inlineStr">
        <is>
          <t>No</t>
        </is>
      </c>
      <c r="S57">
        <f>IF(OR(E57="",D57=""),"",MAX(0,E57-D57))</f>
        <v/>
      </c>
      <c r="T57" t="inlineStr">
        <is>
          <t>No</t>
        </is>
      </c>
      <c r="U57" t="n">
        <v>48</v>
      </c>
      <c r="V57" t="inlineStr">
        <is>
          <t>COD</t>
        </is>
      </c>
      <c r="W57" t="n">
        <v>5</v>
      </c>
      <c r="X57" t="inlineStr">
        <is>
          <t>Weather</t>
        </is>
      </c>
    </row>
    <row r="58">
      <c r="A58" t="inlineStr">
        <is>
          <t>ORD-2026-00057</t>
        </is>
      </c>
      <c r="B58" t="inlineStr">
        <is>
          <t>CUST-0163</t>
        </is>
      </c>
      <c r="C58" s="3" t="n">
        <v>46233</v>
      </c>
      <c r="D58" s="3" t="n">
        <v>46239</v>
      </c>
      <c r="E58" s="3" t="n">
        <v>46239</v>
      </c>
      <c r="F58" t="inlineStr">
        <is>
          <t>Jaipur</t>
        </is>
      </c>
      <c r="G58" t="inlineStr">
        <is>
          <t>Pune</t>
        </is>
      </c>
      <c r="H58" t="inlineStr">
        <is>
          <t>Maersk</t>
        </is>
      </c>
      <c r="I58" t="inlineStr">
        <is>
          <t>Container</t>
        </is>
      </c>
      <c r="J58" t="inlineStr">
        <is>
          <t>Low</t>
        </is>
      </c>
      <c r="K58" t="inlineStr">
        <is>
          <t>Delivered</t>
        </is>
      </c>
      <c r="L58" t="n">
        <v>63.05</v>
      </c>
      <c r="M58" t="n">
        <v>2304</v>
      </c>
      <c r="N58" t="n">
        <v>26.7</v>
      </c>
      <c r="O58" t="n">
        <v>258.34</v>
      </c>
      <c r="P58" t="n">
        <v>978.53</v>
      </c>
      <c r="Q58">
        <f>ROUND(L58*M58*N58/1000+O58+P58,2)</f>
        <v/>
      </c>
      <c r="R58" t="inlineStr">
        <is>
          <t>Yes</t>
        </is>
      </c>
      <c r="S58">
        <f>IF(OR(E58="",D58=""),"",MAX(0,E58-D58))</f>
        <v/>
      </c>
      <c r="T58" t="inlineStr">
        <is>
          <t>Yes</t>
        </is>
      </c>
      <c r="U58" t="n">
        <v>6</v>
      </c>
      <c r="V58" t="inlineStr">
        <is>
          <t>Paid</t>
        </is>
      </c>
      <c r="W58" t="n">
        <v>3</v>
      </c>
      <c r="X58" t="inlineStr">
        <is>
          <t>Weather</t>
        </is>
      </c>
    </row>
    <row r="59">
      <c r="A59" t="inlineStr">
        <is>
          <t>ORD-2026-00058</t>
        </is>
      </c>
      <c r="B59" t="inlineStr">
        <is>
          <t>CUST-0108</t>
        </is>
      </c>
      <c r="C59" s="3" t="n">
        <v>46052</v>
      </c>
      <c r="D59" s="3" t="n">
        <v>46054</v>
      </c>
      <c r="E59" s="3" t="n">
        <v>46054</v>
      </c>
      <c r="F59" t="inlineStr">
        <is>
          <t>Kolkata</t>
        </is>
      </c>
      <c r="G59" t="inlineStr">
        <is>
          <t>Delhi</t>
        </is>
      </c>
      <c r="H59" t="inlineStr">
        <is>
          <t>Delhivery</t>
        </is>
      </c>
      <c r="I59" t="inlineStr">
        <is>
          <t>Van</t>
        </is>
      </c>
      <c r="J59" t="inlineStr">
        <is>
          <t>Critical</t>
        </is>
      </c>
      <c r="K59" t="inlineStr">
        <is>
          <t>Delivered</t>
        </is>
      </c>
      <c r="L59" t="n">
        <v>971.92</v>
      </c>
      <c r="M59" t="n">
        <v>1524</v>
      </c>
      <c r="N59" t="n">
        <v>46.22</v>
      </c>
      <c r="O59" t="n">
        <v>5106.42</v>
      </c>
      <c r="P59" t="n">
        <v>1420.04</v>
      </c>
      <c r="Q59">
        <f>ROUND(L59*M59*N59/1000+O59+P59,2)</f>
        <v/>
      </c>
      <c r="R59" t="inlineStr">
        <is>
          <t>Yes</t>
        </is>
      </c>
      <c r="S59">
        <f>IF(OR(E59="",D59=""),"",MAX(0,E59-D59))</f>
        <v/>
      </c>
      <c r="T59" t="inlineStr">
        <is>
          <t>No</t>
        </is>
      </c>
      <c r="U59" t="n">
        <v>36</v>
      </c>
      <c r="V59" t="inlineStr">
        <is>
          <t>Paid</t>
        </is>
      </c>
      <c r="W59" t="n">
        <v>3</v>
      </c>
      <c r="X59" t="inlineStr">
        <is>
          <t>Address Error</t>
        </is>
      </c>
    </row>
    <row r="60">
      <c r="A60" t="inlineStr">
        <is>
          <t>ORD-2026-00059</t>
        </is>
      </c>
      <c r="B60" t="inlineStr">
        <is>
          <t>CUST-0102</t>
        </is>
      </c>
      <c r="C60" s="3" t="n">
        <v>46136</v>
      </c>
      <c r="D60" s="3" t="n">
        <v>46144</v>
      </c>
      <c r="E60" s="3" t="n">
        <v>46149</v>
      </c>
      <c r="F60" t="inlineStr">
        <is>
          <t>Pune</t>
        </is>
      </c>
      <c r="G60" t="inlineStr">
        <is>
          <t>Bengaluru</t>
        </is>
      </c>
      <c r="H60" t="inlineStr">
        <is>
          <t>BlueDart</t>
        </is>
      </c>
      <c r="I60" t="inlineStr">
        <is>
          <t>Container</t>
        </is>
      </c>
      <c r="J60" t="inlineStr">
        <is>
          <t>Low</t>
        </is>
      </c>
      <c r="K60" t="inlineStr">
        <is>
          <t>Delivered</t>
        </is>
      </c>
      <c r="L60" t="n">
        <v>248.84</v>
      </c>
      <c r="M60" t="n">
        <v>1509</v>
      </c>
      <c r="N60" t="n">
        <v>39.03</v>
      </c>
      <c r="O60" t="n">
        <v>1299.53</v>
      </c>
      <c r="P60" t="n">
        <v>550.84</v>
      </c>
      <c r="Q60">
        <f>ROUND(L60*M60*N60/1000+O60+P60,2)</f>
        <v/>
      </c>
      <c r="R60" t="inlineStr">
        <is>
          <t>No</t>
        </is>
      </c>
      <c r="S60">
        <f>IF(OR(E60="",D60=""),"",MAX(0,E60-D60))</f>
        <v/>
      </c>
      <c r="T60" t="inlineStr">
        <is>
          <t>Yes</t>
        </is>
      </c>
      <c r="U60" t="n">
        <v>77</v>
      </c>
      <c r="V60" t="inlineStr">
        <is>
          <t>Paid</t>
        </is>
      </c>
      <c r="W60" t="n">
        <v>1</v>
      </c>
      <c r="X60" t="inlineStr">
        <is>
          <t>Customer Unavailable</t>
        </is>
      </c>
    </row>
    <row r="61">
      <c r="A61" t="inlineStr">
        <is>
          <t>ORD-2026-00060</t>
        </is>
      </c>
      <c r="B61" t="inlineStr">
        <is>
          <t>CUST-0085</t>
        </is>
      </c>
      <c r="C61" s="3" t="n">
        <v>46108</v>
      </c>
      <c r="D61" s="3" t="n">
        <v>46112</v>
      </c>
      <c r="E61" s="3" t="n">
        <v>46122</v>
      </c>
      <c r="F61" t="inlineStr">
        <is>
          <t>Delhi</t>
        </is>
      </c>
      <c r="G61" t="inlineStr">
        <is>
          <t>Kolkata</t>
        </is>
      </c>
      <c r="H61" t="inlineStr">
        <is>
          <t>BlueDart</t>
        </is>
      </c>
      <c r="I61" t="inlineStr">
        <is>
          <t>Refrigerated Truck</t>
        </is>
      </c>
      <c r="J61" t="inlineStr">
        <is>
          <t>Normal</t>
        </is>
      </c>
      <c r="K61" t="inlineStr">
        <is>
          <t>Delivered</t>
        </is>
      </c>
      <c r="L61" t="n">
        <v>513.41</v>
      </c>
      <c r="M61" t="n">
        <v>2275</v>
      </c>
      <c r="N61" t="n">
        <v>19.81</v>
      </c>
      <c r="O61" t="n">
        <v>993.95</v>
      </c>
      <c r="P61" t="n">
        <v>1307.15</v>
      </c>
      <c r="Q61">
        <f>ROUND(L61*M61*N61/1000+O61+P61,2)</f>
        <v/>
      </c>
      <c r="R61" t="inlineStr">
        <is>
          <t>No</t>
        </is>
      </c>
      <c r="S61">
        <f>IF(OR(E61="",D61=""),"",MAX(0,E61-D61))</f>
        <v/>
      </c>
      <c r="T61" t="inlineStr">
        <is>
          <t>Yes</t>
        </is>
      </c>
      <c r="U61" t="n">
        <v>70</v>
      </c>
      <c r="V61" t="inlineStr">
        <is>
          <t>COD</t>
        </is>
      </c>
      <c r="W61" t="n">
        <v>2</v>
      </c>
      <c r="X61" t="inlineStr">
        <is>
          <t>None</t>
        </is>
      </c>
    </row>
    <row r="62">
      <c r="A62" t="inlineStr">
        <is>
          <t>ORD-2026-00061</t>
        </is>
      </c>
      <c r="B62" t="inlineStr">
        <is>
          <t>CUST-0190</t>
        </is>
      </c>
      <c r="C62" s="3" t="n">
        <v>46192</v>
      </c>
      <c r="D62" s="3" t="n">
        <v>46193</v>
      </c>
      <c r="E62" s="3" t="n">
        <v>46193</v>
      </c>
      <c r="F62" t="inlineStr">
        <is>
          <t>Chennai</t>
        </is>
      </c>
      <c r="G62" t="inlineStr">
        <is>
          <t>Surat</t>
        </is>
      </c>
      <c r="H62" t="inlineStr">
        <is>
          <t>BlueDart</t>
        </is>
      </c>
      <c r="I62" t="inlineStr">
        <is>
          <t>Van</t>
        </is>
      </c>
      <c r="J62" t="inlineStr">
        <is>
          <t>Critical</t>
        </is>
      </c>
      <c r="K62" t="inlineStr">
        <is>
          <t>Delivered</t>
        </is>
      </c>
      <c r="L62" t="n">
        <v>1971.18</v>
      </c>
      <c r="M62" t="n">
        <v>2416</v>
      </c>
      <c r="N62" t="n">
        <v>26.45</v>
      </c>
      <c r="O62" t="n">
        <v>5095.87</v>
      </c>
      <c r="P62" t="n">
        <v>97.55</v>
      </c>
      <c r="Q62">
        <f>ROUND(L62*M62*N62/1000+O62+P62,2)</f>
        <v/>
      </c>
      <c r="R62" t="inlineStr">
        <is>
          <t>Yes</t>
        </is>
      </c>
      <c r="S62">
        <f>IF(OR(E62="",D62=""),"",MAX(0,E62-D62))</f>
        <v/>
      </c>
      <c r="T62" t="inlineStr">
        <is>
          <t>No</t>
        </is>
      </c>
      <c r="U62" t="n">
        <v>47</v>
      </c>
      <c r="V62" t="inlineStr">
        <is>
          <t>Paid</t>
        </is>
      </c>
      <c r="W62" t="n">
        <v>4</v>
      </c>
      <c r="X62" t="inlineStr">
        <is>
          <t>Customs</t>
        </is>
      </c>
    </row>
    <row r="63">
      <c r="A63" t="inlineStr">
        <is>
          <t>ORD-2026-00062</t>
        </is>
      </c>
      <c r="B63" t="inlineStr">
        <is>
          <t>CUST-0123</t>
        </is>
      </c>
      <c r="C63" s="3" t="n">
        <v>46079</v>
      </c>
      <c r="D63" s="3" t="n">
        <v>46080</v>
      </c>
      <c r="E63" s="3" t="n">
        <v>46081</v>
      </c>
      <c r="F63" t="inlineStr">
        <is>
          <t>Chennai</t>
        </is>
      </c>
      <c r="G63" t="inlineStr">
        <is>
          <t>Chennai</t>
        </is>
      </c>
      <c r="H63" t="inlineStr">
        <is>
          <t>Maersk</t>
        </is>
      </c>
      <c r="I63" t="inlineStr">
        <is>
          <t>Van</t>
        </is>
      </c>
      <c r="J63" t="inlineStr">
        <is>
          <t>Critical</t>
        </is>
      </c>
      <c r="K63" t="inlineStr">
        <is>
          <t>Delivered</t>
        </is>
      </c>
      <c r="L63" t="n">
        <v>1647.43</v>
      </c>
      <c r="M63" t="n">
        <v>1240</v>
      </c>
      <c r="N63" t="n">
        <v>34.11</v>
      </c>
      <c r="O63" t="n">
        <v>6120.83</v>
      </c>
      <c r="P63" t="n">
        <v>110.02</v>
      </c>
      <c r="Q63">
        <f>ROUND(L63*M63*N63/1000+O63+P63,2)</f>
        <v/>
      </c>
      <c r="R63" t="inlineStr">
        <is>
          <t>No</t>
        </is>
      </c>
      <c r="S63">
        <f>IF(OR(E63="",D63=""),"",MAX(0,E63-D63))</f>
        <v/>
      </c>
      <c r="T63" t="inlineStr">
        <is>
          <t>No</t>
        </is>
      </c>
      <c r="U63" t="n">
        <v>10</v>
      </c>
      <c r="V63" t="inlineStr">
        <is>
          <t>Paid</t>
        </is>
      </c>
      <c r="W63" t="n">
        <v>3</v>
      </c>
      <c r="X63" t="inlineStr">
        <is>
          <t>Customs</t>
        </is>
      </c>
    </row>
    <row r="64">
      <c r="A64" t="inlineStr">
        <is>
          <t>ORD-2026-00063</t>
        </is>
      </c>
      <c r="B64" t="inlineStr">
        <is>
          <t>CUST-0130</t>
        </is>
      </c>
      <c r="C64" s="3" t="n">
        <v>46060</v>
      </c>
      <c r="D64" s="3" t="n">
        <v>46062</v>
      </c>
      <c r="E64" s="3" t="n">
        <v>46062</v>
      </c>
      <c r="F64" t="inlineStr">
        <is>
          <t>Kolkata</t>
        </is>
      </c>
      <c r="G64" t="inlineStr">
        <is>
          <t>Chennai</t>
        </is>
      </c>
      <c r="H64" t="inlineStr">
        <is>
          <t>BlueDart</t>
        </is>
      </c>
      <c r="I64" t="inlineStr">
        <is>
          <t>Van</t>
        </is>
      </c>
      <c r="J64" t="inlineStr">
        <is>
          <t>Normal</t>
        </is>
      </c>
      <c r="K64" t="inlineStr">
        <is>
          <t>Delivered</t>
        </is>
      </c>
      <c r="L64" t="n">
        <v>1463.62</v>
      </c>
      <c r="M64" t="n">
        <v>1336</v>
      </c>
      <c r="N64" t="n">
        <v>29.71</v>
      </c>
      <c r="O64" t="n">
        <v>3825.17</v>
      </c>
      <c r="P64" t="n">
        <v>456.45</v>
      </c>
      <c r="Q64">
        <f>ROUND(L64*M64*N64/1000+O64+P64,2)</f>
        <v/>
      </c>
      <c r="R64" t="inlineStr">
        <is>
          <t>Yes</t>
        </is>
      </c>
      <c r="S64">
        <f>IF(OR(E64="",D64=""),"",MAX(0,E64-D64))</f>
        <v/>
      </c>
      <c r="T64" t="inlineStr">
        <is>
          <t>No</t>
        </is>
      </c>
      <c r="U64" t="n">
        <v>58</v>
      </c>
      <c r="V64" t="inlineStr">
        <is>
          <t>Pending</t>
        </is>
      </c>
      <c r="W64" t="n">
        <v>4</v>
      </c>
      <c r="X64" t="inlineStr">
        <is>
          <t>Vehicle Breakdown</t>
        </is>
      </c>
    </row>
    <row r="65">
      <c r="A65" t="inlineStr">
        <is>
          <t>ORD-2026-00064</t>
        </is>
      </c>
      <c r="B65" t="inlineStr">
        <is>
          <t>CUST-0237</t>
        </is>
      </c>
      <c r="C65" s="3" t="n">
        <v>46234</v>
      </c>
      <c r="D65" s="3" t="n">
        <v>46242</v>
      </c>
      <c r="E65" s="3" t="n">
        <v>46242</v>
      </c>
      <c r="F65" t="inlineStr">
        <is>
          <t>Jaipur</t>
        </is>
      </c>
      <c r="G65" t="inlineStr">
        <is>
          <t>Mumbai</t>
        </is>
      </c>
      <c r="H65" t="inlineStr">
        <is>
          <t>BlueDart</t>
        </is>
      </c>
      <c r="I65" t="inlineStr">
        <is>
          <t>Van</t>
        </is>
      </c>
      <c r="J65" t="inlineStr">
        <is>
          <t>Low</t>
        </is>
      </c>
      <c r="K65" t="inlineStr">
        <is>
          <t>Delivered</t>
        </is>
      </c>
      <c r="L65" t="n">
        <v>781.71</v>
      </c>
      <c r="M65" t="n">
        <v>1285</v>
      </c>
      <c r="N65" t="n">
        <v>45.91</v>
      </c>
      <c r="O65" t="n">
        <v>2419.18</v>
      </c>
      <c r="P65" t="n">
        <v>245.91</v>
      </c>
      <c r="Q65">
        <f>ROUND(L65*M65*N65/1000+O65+P65,2)</f>
        <v/>
      </c>
      <c r="R65" t="inlineStr">
        <is>
          <t>Yes</t>
        </is>
      </c>
      <c r="S65">
        <f>IF(OR(E65="",D65=""),"",MAX(0,E65-D65))</f>
        <v/>
      </c>
      <c r="T65" t="inlineStr">
        <is>
          <t>No</t>
        </is>
      </c>
      <c r="U65" t="n">
        <v>13</v>
      </c>
      <c r="V65" t="inlineStr">
        <is>
          <t>COD</t>
        </is>
      </c>
      <c r="W65" t="n">
        <v>2</v>
      </c>
      <c r="X65" t="inlineStr">
        <is>
          <t>Customs</t>
        </is>
      </c>
    </row>
    <row r="66">
      <c r="A66" t="inlineStr">
        <is>
          <t>ORD-2026-00065</t>
        </is>
      </c>
      <c r="B66" t="inlineStr">
        <is>
          <t>CUST-0154</t>
        </is>
      </c>
      <c r="C66" s="3" t="n">
        <v>46038</v>
      </c>
      <c r="D66" s="3" t="n">
        <v>46044</v>
      </c>
      <c r="E66" s="3" t="n">
        <v>46045</v>
      </c>
      <c r="F66" t="inlineStr">
        <is>
          <t>Pune</t>
        </is>
      </c>
      <c r="G66" t="inlineStr">
        <is>
          <t>Hyderabad</t>
        </is>
      </c>
      <c r="H66" t="inlineStr">
        <is>
          <t>BlueDart</t>
        </is>
      </c>
      <c r="I66" t="inlineStr">
        <is>
          <t>Bike</t>
        </is>
      </c>
      <c r="J66" t="inlineStr">
        <is>
          <t>Normal</t>
        </is>
      </c>
      <c r="K66" t="inlineStr">
        <is>
          <t>Delivered</t>
        </is>
      </c>
      <c r="L66" t="n">
        <v>2184.08</v>
      </c>
      <c r="M66" t="n">
        <v>1737</v>
      </c>
      <c r="N66" t="n">
        <v>57.48</v>
      </c>
      <c r="O66" t="n">
        <v>15976.2</v>
      </c>
      <c r="P66" t="n">
        <v>1453.23</v>
      </c>
      <c r="Q66">
        <f>ROUND(L66*M66*N66/1000+O66+P66,2)</f>
        <v/>
      </c>
      <c r="R66" t="inlineStr">
        <is>
          <t>No</t>
        </is>
      </c>
      <c r="S66">
        <f>IF(OR(E66="",D66=""),"",MAX(0,E66-D66))</f>
        <v/>
      </c>
      <c r="T66" t="inlineStr">
        <is>
          <t>Yes</t>
        </is>
      </c>
      <c r="U66" t="n">
        <v>62</v>
      </c>
      <c r="V66" t="inlineStr">
        <is>
          <t>Pending</t>
        </is>
      </c>
      <c r="W66" t="n">
        <v>1</v>
      </c>
      <c r="X66" t="inlineStr">
        <is>
          <t>Vehicle Breakdown</t>
        </is>
      </c>
    </row>
    <row r="67">
      <c r="A67" t="inlineStr">
        <is>
          <t>ORD-2026-00066</t>
        </is>
      </c>
      <c r="B67" t="inlineStr">
        <is>
          <t>CUST-0158</t>
        </is>
      </c>
      <c r="C67" s="3" t="n">
        <v>46239</v>
      </c>
      <c r="D67" s="3" t="n">
        <v>46245</v>
      </c>
      <c r="E67" s="3" t="n">
        <v>46245</v>
      </c>
      <c r="F67" t="inlineStr">
        <is>
          <t>Surat</t>
        </is>
      </c>
      <c r="G67" t="inlineStr">
        <is>
          <t>Ahmedabad</t>
        </is>
      </c>
      <c r="H67" t="inlineStr">
        <is>
          <t>DTDC</t>
        </is>
      </c>
      <c r="I67" t="inlineStr">
        <is>
          <t>Refrigerated Truck</t>
        </is>
      </c>
      <c r="J67" t="inlineStr">
        <is>
          <t>Low</t>
        </is>
      </c>
      <c r="K67" t="inlineStr">
        <is>
          <t>Delivered</t>
        </is>
      </c>
      <c r="L67" t="n">
        <v>565.78</v>
      </c>
      <c r="M67" t="n">
        <v>1762</v>
      </c>
      <c r="N67" t="n">
        <v>56.17</v>
      </c>
      <c r="O67" t="n">
        <v>4954.13</v>
      </c>
      <c r="P67" t="n">
        <v>1231.27</v>
      </c>
      <c r="Q67">
        <f>ROUND(L67*M67*N67/1000+O67+P67,2)</f>
        <v/>
      </c>
      <c r="R67" t="inlineStr">
        <is>
          <t>Yes</t>
        </is>
      </c>
      <c r="S67">
        <f>IF(OR(E67="",D67=""),"",MAX(0,E67-D67))</f>
        <v/>
      </c>
      <c r="T67" t="inlineStr">
        <is>
          <t>Yes</t>
        </is>
      </c>
      <c r="U67" t="n">
        <v>35</v>
      </c>
      <c r="V67" t="inlineStr">
        <is>
          <t>COD</t>
        </is>
      </c>
      <c r="W67" t="n">
        <v>3</v>
      </c>
      <c r="X67" t="inlineStr">
        <is>
          <t>Vehicle Breakdown</t>
        </is>
      </c>
    </row>
    <row r="68">
      <c r="A68" t="inlineStr">
        <is>
          <t>ORD-2026-00067</t>
        </is>
      </c>
      <c r="B68" t="inlineStr">
        <is>
          <t>CUST-0136</t>
        </is>
      </c>
      <c r="C68" s="3" t="n">
        <v>46024</v>
      </c>
      <c r="D68" s="3" t="n">
        <v>46027</v>
      </c>
      <c r="E68" s="3" t="n">
        <v>46030</v>
      </c>
      <c r="F68" t="inlineStr">
        <is>
          <t>Bengaluru</t>
        </is>
      </c>
      <c r="G68" t="inlineStr">
        <is>
          <t>Chennai</t>
        </is>
      </c>
      <c r="H68" t="inlineStr">
        <is>
          <t>Delhivery</t>
        </is>
      </c>
      <c r="I68" t="inlineStr">
        <is>
          <t>Container</t>
        </is>
      </c>
      <c r="J68" t="inlineStr">
        <is>
          <t>High</t>
        </is>
      </c>
      <c r="K68" t="inlineStr">
        <is>
          <t>Delivered</t>
        </is>
      </c>
      <c r="L68" t="n">
        <v>1002.26</v>
      </c>
      <c r="M68" t="n">
        <v>586</v>
      </c>
      <c r="N68" t="n">
        <v>50.24</v>
      </c>
      <c r="O68" t="n">
        <v>2605.74</v>
      </c>
      <c r="P68" t="n">
        <v>155.8</v>
      </c>
      <c r="Q68">
        <f>ROUND(L68*M68*N68/1000+O68+P68,2)</f>
        <v/>
      </c>
      <c r="R68" t="inlineStr">
        <is>
          <t>No</t>
        </is>
      </c>
      <c r="S68">
        <f>IF(OR(E68="",D68=""),"",MAX(0,E68-D68))</f>
        <v/>
      </c>
      <c r="T68" t="inlineStr">
        <is>
          <t>Yes</t>
        </is>
      </c>
      <c r="U68" t="n">
        <v>48</v>
      </c>
      <c r="V68" t="inlineStr">
        <is>
          <t>COD</t>
        </is>
      </c>
      <c r="W68" t="n">
        <v>3</v>
      </c>
      <c r="X68" t="inlineStr">
        <is>
          <t>Customer Unavailable</t>
        </is>
      </c>
    </row>
    <row r="69">
      <c r="A69" t="inlineStr">
        <is>
          <t>ORD-2026-00068</t>
        </is>
      </c>
      <c r="B69" t="inlineStr">
        <is>
          <t>CUST-0125</t>
        </is>
      </c>
      <c r="C69" s="3" t="n">
        <v>46168</v>
      </c>
      <c r="D69" s="3" t="n">
        <v>46170</v>
      </c>
      <c r="E69" s="3" t="n">
        <v>46173</v>
      </c>
      <c r="F69" t="inlineStr">
        <is>
          <t>Kolkata</t>
        </is>
      </c>
      <c r="G69" t="inlineStr">
        <is>
          <t>Jaipur</t>
        </is>
      </c>
      <c r="H69" t="inlineStr">
        <is>
          <t>Delhivery</t>
        </is>
      </c>
      <c r="I69" t="inlineStr">
        <is>
          <t>Refrigerated Truck</t>
        </is>
      </c>
      <c r="J69" t="inlineStr">
        <is>
          <t>Normal</t>
        </is>
      </c>
      <c r="K69" t="inlineStr">
        <is>
          <t>Delivered</t>
        </is>
      </c>
      <c r="L69" t="n">
        <v>1886.21</v>
      </c>
      <c r="M69" t="n">
        <v>208</v>
      </c>
      <c r="N69" t="n">
        <v>46.42</v>
      </c>
      <c r="O69" t="n">
        <v>843.6900000000001</v>
      </c>
      <c r="P69" t="n">
        <v>999.67</v>
      </c>
      <c r="Q69">
        <f>ROUND(L69*M69*N69/1000+O69+P69,2)</f>
        <v/>
      </c>
      <c r="R69" t="inlineStr">
        <is>
          <t>No</t>
        </is>
      </c>
      <c r="S69">
        <f>IF(OR(E69="",D69=""),"",MAX(0,E69-D69))</f>
        <v/>
      </c>
      <c r="T69" t="inlineStr">
        <is>
          <t>Yes</t>
        </is>
      </c>
      <c r="U69" t="n">
        <v>45</v>
      </c>
      <c r="V69" t="inlineStr">
        <is>
          <t>Failed</t>
        </is>
      </c>
      <c r="W69" t="n">
        <v>1</v>
      </c>
      <c r="X69" t="inlineStr">
        <is>
          <t>Vehicle Breakdown</t>
        </is>
      </c>
    </row>
    <row r="70">
      <c r="A70" t="inlineStr">
        <is>
          <t>ORD-2026-00069</t>
        </is>
      </c>
      <c r="B70" t="inlineStr">
        <is>
          <t>CUST-0197</t>
        </is>
      </c>
      <c r="C70" s="3" t="n">
        <v>46196</v>
      </c>
      <c r="D70" s="3" t="n">
        <v>46204</v>
      </c>
      <c r="E70" s="3" t="n">
        <v>46204</v>
      </c>
      <c r="F70" t="inlineStr">
        <is>
          <t>Delhi</t>
        </is>
      </c>
      <c r="G70" t="inlineStr">
        <is>
          <t>Pune</t>
        </is>
      </c>
      <c r="H70" t="inlineStr">
        <is>
          <t>FedEx</t>
        </is>
      </c>
      <c r="I70" t="inlineStr">
        <is>
          <t>Refrigerated Truck</t>
        </is>
      </c>
      <c r="J70" t="inlineStr">
        <is>
          <t>Low</t>
        </is>
      </c>
      <c r="K70" t="inlineStr">
        <is>
          <t>Delivered</t>
        </is>
      </c>
      <c r="L70" t="n">
        <v>551.6900000000001</v>
      </c>
      <c r="M70" t="n">
        <v>2459</v>
      </c>
      <c r="N70" t="n">
        <v>11.12</v>
      </c>
      <c r="O70" t="n">
        <v>637.59</v>
      </c>
      <c r="P70" t="n">
        <v>1419.08</v>
      </c>
      <c r="Q70">
        <f>ROUND(L70*M70*N70/1000+O70+P70,2)</f>
        <v/>
      </c>
      <c r="R70" t="inlineStr">
        <is>
          <t>Yes</t>
        </is>
      </c>
      <c r="S70">
        <f>IF(OR(E70="",D70=""),"",MAX(0,E70-D70))</f>
        <v/>
      </c>
      <c r="T70" t="inlineStr">
        <is>
          <t>Yes</t>
        </is>
      </c>
      <c r="U70" t="n">
        <v>64</v>
      </c>
      <c r="V70" t="inlineStr">
        <is>
          <t>Failed</t>
        </is>
      </c>
      <c r="W70" t="n">
        <v>2</v>
      </c>
      <c r="X70" t="inlineStr">
        <is>
          <t>Address Error</t>
        </is>
      </c>
    </row>
    <row r="71">
      <c r="A71" t="inlineStr">
        <is>
          <t>ORD-2026-00070</t>
        </is>
      </c>
      <c r="B71" t="inlineStr">
        <is>
          <t>CUST-0118</t>
        </is>
      </c>
      <c r="C71" s="3" t="n">
        <v>46120</v>
      </c>
      <c r="D71" s="3" t="n">
        <v>46124</v>
      </c>
      <c r="E71" s="3" t="n">
        <v>46124</v>
      </c>
      <c r="F71" t="inlineStr">
        <is>
          <t>Mumbai</t>
        </is>
      </c>
      <c r="G71" t="inlineStr">
        <is>
          <t>Hyderabad</t>
        </is>
      </c>
      <c r="H71" t="inlineStr">
        <is>
          <t>DTDC</t>
        </is>
      </c>
      <c r="I71" t="inlineStr">
        <is>
          <t>Container</t>
        </is>
      </c>
      <c r="J71" t="inlineStr">
        <is>
          <t>Critical</t>
        </is>
      </c>
      <c r="K71" t="inlineStr">
        <is>
          <t>Delivered</t>
        </is>
      </c>
      <c r="L71" t="n">
        <v>2015.6</v>
      </c>
      <c r="M71" t="n">
        <v>300</v>
      </c>
      <c r="N71" t="n">
        <v>30.63</v>
      </c>
      <c r="O71" t="n">
        <v>1380.26</v>
      </c>
      <c r="P71" t="n">
        <v>665.61</v>
      </c>
      <c r="Q71">
        <f>ROUND(L71*M71*N71/1000+O71+P71,2)</f>
        <v/>
      </c>
      <c r="R71" t="inlineStr">
        <is>
          <t>Yes</t>
        </is>
      </c>
      <c r="S71">
        <f>IF(OR(E71="",D71=""),"",MAX(0,E71-D71))</f>
        <v/>
      </c>
      <c r="T71" t="inlineStr">
        <is>
          <t>No</t>
        </is>
      </c>
      <c r="U71" t="n">
        <v>38</v>
      </c>
      <c r="V71" t="inlineStr">
        <is>
          <t>Paid</t>
        </is>
      </c>
      <c r="W71" t="n">
        <v>4</v>
      </c>
      <c r="X71" t="inlineStr">
        <is>
          <t>None</t>
        </is>
      </c>
    </row>
    <row r="72">
      <c r="A72" t="inlineStr">
        <is>
          <t>ORD-2026-00071</t>
        </is>
      </c>
      <c r="B72" t="inlineStr">
        <is>
          <t>CUST-0151</t>
        </is>
      </c>
      <c r="C72" s="3" t="n">
        <v>46106</v>
      </c>
      <c r="D72" s="3" t="n">
        <v>46109</v>
      </c>
      <c r="E72" s="3" t="n">
        <v>46111</v>
      </c>
      <c r="F72" t="inlineStr">
        <is>
          <t>Chennai</t>
        </is>
      </c>
      <c r="G72" t="inlineStr">
        <is>
          <t>Surat</t>
        </is>
      </c>
      <c r="H72" t="inlineStr">
        <is>
          <t>BlueDart</t>
        </is>
      </c>
      <c r="I72" t="inlineStr">
        <is>
          <t>Container</t>
        </is>
      </c>
      <c r="J72" t="inlineStr">
        <is>
          <t>High</t>
        </is>
      </c>
      <c r="K72" t="inlineStr">
        <is>
          <t>Delivered</t>
        </is>
      </c>
      <c r="L72" t="n">
        <v>2080.15</v>
      </c>
      <c r="M72" t="n">
        <v>1487</v>
      </c>
      <c r="N72" t="n">
        <v>13.02</v>
      </c>
      <c r="O72" t="n">
        <v>3248.8</v>
      </c>
      <c r="P72" t="n">
        <v>380.11</v>
      </c>
      <c r="Q72">
        <f>ROUND(L72*M72*N72/1000+O72+P72,2)</f>
        <v/>
      </c>
      <c r="R72" t="inlineStr">
        <is>
          <t>No</t>
        </is>
      </c>
      <c r="S72">
        <f>IF(OR(E72="",D72=""),"",MAX(0,E72-D72))</f>
        <v/>
      </c>
      <c r="T72" t="inlineStr">
        <is>
          <t>No</t>
        </is>
      </c>
      <c r="U72" t="n">
        <v>29</v>
      </c>
      <c r="V72" t="inlineStr">
        <is>
          <t>COD</t>
        </is>
      </c>
      <c r="W72" t="n">
        <v>2</v>
      </c>
      <c r="X72" t="inlineStr">
        <is>
          <t>None</t>
        </is>
      </c>
    </row>
    <row r="73">
      <c r="A73" t="inlineStr">
        <is>
          <t>ORD-2026-00072</t>
        </is>
      </c>
      <c r="B73" t="inlineStr">
        <is>
          <t>CUST-0061</t>
        </is>
      </c>
      <c r="C73" s="3" t="n">
        <v>46153</v>
      </c>
      <c r="D73" s="3" t="n">
        <v>46155</v>
      </c>
      <c r="E73" s="3" t="n">
        <v>46155</v>
      </c>
      <c r="F73" t="inlineStr">
        <is>
          <t>Mumbai</t>
        </is>
      </c>
      <c r="G73" t="inlineStr">
        <is>
          <t>Delhi</t>
        </is>
      </c>
      <c r="H73" t="inlineStr">
        <is>
          <t>FedEx</t>
        </is>
      </c>
      <c r="I73" t="inlineStr">
        <is>
          <t>Truck</t>
        </is>
      </c>
      <c r="J73" t="inlineStr">
        <is>
          <t>Normal</t>
        </is>
      </c>
      <c r="K73" t="inlineStr">
        <is>
          <t>Delivered</t>
        </is>
      </c>
      <c r="L73" t="n">
        <v>1940.68</v>
      </c>
      <c r="M73" t="n">
        <v>1443</v>
      </c>
      <c r="N73" t="n">
        <v>49.46</v>
      </c>
      <c r="O73" t="n">
        <v>10961.08</v>
      </c>
      <c r="P73" t="n">
        <v>1226.25</v>
      </c>
      <c r="Q73">
        <f>ROUND(L73*M73*N73/1000+O73+P73,2)</f>
        <v/>
      </c>
      <c r="R73" t="inlineStr">
        <is>
          <t>Yes</t>
        </is>
      </c>
      <c r="S73">
        <f>IF(OR(E73="",D73=""),"",MAX(0,E73-D73))</f>
        <v/>
      </c>
      <c r="T73" t="inlineStr">
        <is>
          <t>Yes</t>
        </is>
      </c>
      <c r="U73" t="n">
        <v>10</v>
      </c>
      <c r="V73" t="inlineStr">
        <is>
          <t>Pending</t>
        </is>
      </c>
      <c r="W73" t="n">
        <v>4</v>
      </c>
      <c r="X73" t="inlineStr">
        <is>
          <t>Weather</t>
        </is>
      </c>
    </row>
    <row r="74">
      <c r="A74" t="inlineStr">
        <is>
          <t>ORD-2026-00073</t>
        </is>
      </c>
      <c r="B74" t="inlineStr">
        <is>
          <t>CUST-0113</t>
        </is>
      </c>
      <c r="C74" s="3" t="n">
        <v>46216</v>
      </c>
      <c r="D74" s="3" t="n">
        <v>46224</v>
      </c>
      <c r="E74" s="3" t="n">
        <v>46225</v>
      </c>
      <c r="F74" t="inlineStr">
        <is>
          <t>Mumbai</t>
        </is>
      </c>
      <c r="G74" t="inlineStr">
        <is>
          <t>Jaipur</t>
        </is>
      </c>
      <c r="H74" t="inlineStr">
        <is>
          <t>Delhivery</t>
        </is>
      </c>
      <c r="I74" t="inlineStr">
        <is>
          <t>Refrigerated Truck</t>
        </is>
      </c>
      <c r="J74" t="inlineStr">
        <is>
          <t>High</t>
        </is>
      </c>
      <c r="K74" t="inlineStr">
        <is>
          <t>Delivered</t>
        </is>
      </c>
      <c r="L74" t="n">
        <v>1607.66</v>
      </c>
      <c r="M74" t="n">
        <v>2563</v>
      </c>
      <c r="N74" t="n">
        <v>26.42</v>
      </c>
      <c r="O74" t="n">
        <v>9607.969999999999</v>
      </c>
      <c r="P74" t="n">
        <v>487.89</v>
      </c>
      <c r="Q74">
        <f>ROUND(L74*M74*N74/1000+O74+P74,2)</f>
        <v/>
      </c>
      <c r="R74" t="inlineStr">
        <is>
          <t>No</t>
        </is>
      </c>
      <c r="S74">
        <f>IF(OR(E74="",D74=""),"",MAX(0,E74-D74))</f>
        <v/>
      </c>
      <c r="T74" t="inlineStr">
        <is>
          <t>Yes</t>
        </is>
      </c>
      <c r="U74" t="n">
        <v>46</v>
      </c>
      <c r="V74" t="inlineStr">
        <is>
          <t>Paid</t>
        </is>
      </c>
      <c r="W74" t="n">
        <v>3</v>
      </c>
      <c r="X74" t="inlineStr">
        <is>
          <t>Weather</t>
        </is>
      </c>
    </row>
    <row r="75">
      <c r="A75" t="inlineStr">
        <is>
          <t>ORD-2026-00074</t>
        </is>
      </c>
      <c r="B75" t="inlineStr">
        <is>
          <t>CUST-0142</t>
        </is>
      </c>
      <c r="C75" s="3" t="n">
        <v>46138</v>
      </c>
      <c r="D75" s="3" t="n">
        <v>46139</v>
      </c>
      <c r="E75" s="3" t="n">
        <v>46139</v>
      </c>
      <c r="F75" t="inlineStr">
        <is>
          <t>Ahmedabad</t>
        </is>
      </c>
      <c r="G75" t="inlineStr">
        <is>
          <t>Jaipur</t>
        </is>
      </c>
      <c r="H75" t="inlineStr">
        <is>
          <t>Aramex</t>
        </is>
      </c>
      <c r="I75" t="inlineStr">
        <is>
          <t>Bike</t>
        </is>
      </c>
      <c r="J75" t="inlineStr">
        <is>
          <t>Normal</t>
        </is>
      </c>
      <c r="K75" t="inlineStr">
        <is>
          <t>Delivered</t>
        </is>
      </c>
      <c r="L75" t="n">
        <v>192.29</v>
      </c>
      <c r="M75" t="n">
        <v>374</v>
      </c>
      <c r="N75" t="n">
        <v>43.06</v>
      </c>
      <c r="O75" t="n">
        <v>187.12</v>
      </c>
      <c r="P75" t="n">
        <v>704.8099999999999</v>
      </c>
      <c r="Q75">
        <f>ROUND(L75*M75*N75/1000+O75+P75,2)</f>
        <v/>
      </c>
      <c r="R75" t="inlineStr">
        <is>
          <t>Yes</t>
        </is>
      </c>
      <c r="S75">
        <f>IF(OR(E75="",D75=""),"",MAX(0,E75-D75))</f>
        <v/>
      </c>
      <c r="T75" t="inlineStr">
        <is>
          <t>No</t>
        </is>
      </c>
      <c r="U75" t="n">
        <v>78</v>
      </c>
      <c r="V75" t="inlineStr">
        <is>
          <t>Failed</t>
        </is>
      </c>
      <c r="W75" t="n">
        <v>5</v>
      </c>
      <c r="X75" t="inlineStr">
        <is>
          <t>Address Error</t>
        </is>
      </c>
    </row>
    <row r="76">
      <c r="A76" t="inlineStr">
        <is>
          <t>ORD-2026-00075</t>
        </is>
      </c>
      <c r="B76" t="inlineStr">
        <is>
          <t>CUST-0113</t>
        </is>
      </c>
      <c r="C76" s="3" t="n">
        <v>46038</v>
      </c>
      <c r="D76" s="3" t="n">
        <v>46046</v>
      </c>
      <c r="E76" s="3" t="n">
        <v>46046</v>
      </c>
      <c r="F76" t="inlineStr">
        <is>
          <t>Jaipur</t>
        </is>
      </c>
      <c r="G76" t="inlineStr">
        <is>
          <t>Surat</t>
        </is>
      </c>
      <c r="H76" t="inlineStr">
        <is>
          <t>DTDC</t>
        </is>
      </c>
      <c r="I76" t="inlineStr">
        <is>
          <t>Bike</t>
        </is>
      </c>
      <c r="J76" t="inlineStr">
        <is>
          <t>Normal</t>
        </is>
      </c>
      <c r="K76" t="inlineStr">
        <is>
          <t>Delivered</t>
        </is>
      </c>
      <c r="L76" t="n">
        <v>858.92</v>
      </c>
      <c r="M76" t="n">
        <v>350</v>
      </c>
      <c r="N76" t="n">
        <v>36.76</v>
      </c>
      <c r="O76" t="n">
        <v>445.94</v>
      </c>
      <c r="P76" t="n">
        <v>386.66</v>
      </c>
      <c r="Q76">
        <f>ROUND(L76*M76*N76/1000+O76+P76,2)</f>
        <v/>
      </c>
      <c r="R76" t="inlineStr">
        <is>
          <t>Yes</t>
        </is>
      </c>
      <c r="S76">
        <f>IF(OR(E76="",D76=""),"",MAX(0,E76-D76))</f>
        <v/>
      </c>
      <c r="T76" t="inlineStr">
        <is>
          <t>No</t>
        </is>
      </c>
      <c r="U76" t="n">
        <v>48</v>
      </c>
      <c r="V76" t="inlineStr">
        <is>
          <t>COD</t>
        </is>
      </c>
      <c r="W76" t="n">
        <v>4</v>
      </c>
      <c r="X76" t="inlineStr">
        <is>
          <t>Weather</t>
        </is>
      </c>
    </row>
    <row r="77">
      <c r="A77" t="inlineStr">
        <is>
          <t>ORD-2026-00076</t>
        </is>
      </c>
      <c r="B77" t="inlineStr">
        <is>
          <t>CUST-0169</t>
        </is>
      </c>
      <c r="C77" s="3" t="n">
        <v>46221</v>
      </c>
      <c r="D77" s="3" t="n">
        <v>46227</v>
      </c>
      <c r="E77" s="3" t="n">
        <v>46228</v>
      </c>
      <c r="F77" t="inlineStr">
        <is>
          <t>Kolkata</t>
        </is>
      </c>
      <c r="G77" t="inlineStr">
        <is>
          <t>Delhi</t>
        </is>
      </c>
      <c r="H77" t="inlineStr">
        <is>
          <t>FedEx</t>
        </is>
      </c>
      <c r="I77" t="inlineStr">
        <is>
          <t>Van</t>
        </is>
      </c>
      <c r="J77" t="inlineStr">
        <is>
          <t>Normal</t>
        </is>
      </c>
      <c r="K77" t="inlineStr">
        <is>
          <t>Delayed</t>
        </is>
      </c>
      <c r="L77" t="n">
        <v>824.5599999999999</v>
      </c>
      <c r="M77" t="n">
        <v>2290</v>
      </c>
      <c r="N77" t="n">
        <v>46.67</v>
      </c>
      <c r="O77" t="n">
        <v>4146.14</v>
      </c>
      <c r="P77" t="n">
        <v>1091.13</v>
      </c>
      <c r="Q77">
        <f>ROUND(L77*M77*N77/1000+O77+P77,2)</f>
        <v/>
      </c>
      <c r="R77" t="inlineStr">
        <is>
          <t>No</t>
        </is>
      </c>
      <c r="S77">
        <f>IF(OR(E77="",D77=""),"",MAX(0,E77-D77))</f>
        <v/>
      </c>
      <c r="T77" t="inlineStr">
        <is>
          <t>No</t>
        </is>
      </c>
      <c r="U77" t="n">
        <v>40</v>
      </c>
      <c r="V77" t="inlineStr">
        <is>
          <t>Failed</t>
        </is>
      </c>
      <c r="W77" t="n">
        <v>2</v>
      </c>
      <c r="X77" t="inlineStr">
        <is>
          <t>Customs</t>
        </is>
      </c>
    </row>
    <row r="78">
      <c r="A78" t="inlineStr">
        <is>
          <t>ORD-2026-00077</t>
        </is>
      </c>
      <c r="B78" t="inlineStr">
        <is>
          <t>CUST-0176</t>
        </is>
      </c>
      <c r="C78" s="3" t="n">
        <v>46204</v>
      </c>
      <c r="D78" s="3" t="n">
        <v>46206</v>
      </c>
      <c r="E78" s="3" t="n">
        <v>46206</v>
      </c>
      <c r="F78" t="inlineStr">
        <is>
          <t>Surat</t>
        </is>
      </c>
      <c r="G78" t="inlineStr">
        <is>
          <t>Mumbai</t>
        </is>
      </c>
      <c r="H78" t="inlineStr">
        <is>
          <t>Maersk</t>
        </is>
      </c>
      <c r="I78" t="inlineStr">
        <is>
          <t>Container</t>
        </is>
      </c>
      <c r="J78" t="inlineStr">
        <is>
          <t>High</t>
        </is>
      </c>
      <c r="K78" t="inlineStr">
        <is>
          <t>Delivered</t>
        </is>
      </c>
      <c r="L78" t="n">
        <v>1979.26</v>
      </c>
      <c r="M78" t="n">
        <v>528</v>
      </c>
      <c r="N78" t="n">
        <v>46.2</v>
      </c>
      <c r="O78" t="n">
        <v>3849.83</v>
      </c>
      <c r="P78" t="n">
        <v>1113.39</v>
      </c>
      <c r="Q78">
        <f>ROUND(L78*M78*N78/1000+O78+P78,2)</f>
        <v/>
      </c>
      <c r="R78" t="inlineStr">
        <is>
          <t>Yes</t>
        </is>
      </c>
      <c r="S78">
        <f>IF(OR(E78="",D78=""),"",MAX(0,E78-D78))</f>
        <v/>
      </c>
      <c r="T78" t="inlineStr">
        <is>
          <t>Yes</t>
        </is>
      </c>
      <c r="U78" t="n">
        <v>47</v>
      </c>
      <c r="V78" t="inlineStr">
        <is>
          <t>COD</t>
        </is>
      </c>
      <c r="W78" t="n">
        <v>2</v>
      </c>
      <c r="X78" t="inlineStr">
        <is>
          <t>Address Error</t>
        </is>
      </c>
    </row>
    <row r="79">
      <c r="A79" t="inlineStr">
        <is>
          <t>ORD-2026-00078</t>
        </is>
      </c>
      <c r="B79" t="inlineStr">
        <is>
          <t>CUST-0214</t>
        </is>
      </c>
      <c r="C79" s="3" t="n">
        <v>46110</v>
      </c>
      <c r="D79" s="3" t="n">
        <v>46118</v>
      </c>
      <c r="E79" s="3" t="n">
        <v>46118</v>
      </c>
      <c r="F79" t="inlineStr">
        <is>
          <t>Surat</t>
        </is>
      </c>
      <c r="G79" t="inlineStr">
        <is>
          <t>Ahmedabad</t>
        </is>
      </c>
      <c r="H79" t="inlineStr">
        <is>
          <t>Maersk</t>
        </is>
      </c>
      <c r="I79" t="inlineStr">
        <is>
          <t>Refrigerated Truck</t>
        </is>
      </c>
      <c r="J79" t="inlineStr">
        <is>
          <t>Normal</t>
        </is>
      </c>
      <c r="K79" t="inlineStr">
        <is>
          <t>Delivered</t>
        </is>
      </c>
      <c r="L79" t="n">
        <v>387.79</v>
      </c>
      <c r="M79" t="n">
        <v>1216</v>
      </c>
      <c r="N79" t="n">
        <v>56.13</v>
      </c>
      <c r="O79" t="n">
        <v>954.67</v>
      </c>
      <c r="P79" t="n">
        <v>1160.89</v>
      </c>
      <c r="Q79">
        <f>ROUND(L79*M79*N79/1000+O79+P79,2)</f>
        <v/>
      </c>
      <c r="R79" t="inlineStr">
        <is>
          <t>Yes</t>
        </is>
      </c>
      <c r="S79">
        <f>IF(OR(E79="",D79=""),"",MAX(0,E79-D79))</f>
        <v/>
      </c>
      <c r="T79" t="inlineStr">
        <is>
          <t>No</t>
        </is>
      </c>
      <c r="U79" t="n">
        <v>20</v>
      </c>
      <c r="V79" t="inlineStr">
        <is>
          <t>Pending</t>
        </is>
      </c>
      <c r="W79" t="n">
        <v>2</v>
      </c>
      <c r="X79" t="inlineStr">
        <is>
          <t>Customer Unavailable</t>
        </is>
      </c>
    </row>
    <row r="80">
      <c r="A80" t="inlineStr">
        <is>
          <t>ORD-2026-00079</t>
        </is>
      </c>
      <c r="B80" t="inlineStr">
        <is>
          <t>CUST-0060</t>
        </is>
      </c>
      <c r="C80" s="3" t="n">
        <v>46200</v>
      </c>
      <c r="D80" s="3" t="n">
        <v>46203</v>
      </c>
      <c r="E80" s="3" t="n">
        <v>46209</v>
      </c>
      <c r="F80" t="inlineStr">
        <is>
          <t>Surat</t>
        </is>
      </c>
      <c r="G80" t="inlineStr">
        <is>
          <t>Bengaluru</t>
        </is>
      </c>
      <c r="H80" t="inlineStr">
        <is>
          <t>FedEx</t>
        </is>
      </c>
      <c r="I80" t="inlineStr">
        <is>
          <t>Container</t>
        </is>
      </c>
      <c r="J80" t="inlineStr">
        <is>
          <t>Normal</t>
        </is>
      </c>
      <c r="K80" t="inlineStr">
        <is>
          <t>Delayed</t>
        </is>
      </c>
      <c r="L80" t="n">
        <v>1799.1</v>
      </c>
      <c r="M80" t="n">
        <v>1824</v>
      </c>
      <c r="N80" t="n">
        <v>42.8</v>
      </c>
      <c r="O80" t="n">
        <v>10553.95</v>
      </c>
      <c r="P80" t="n">
        <v>1180.02</v>
      </c>
      <c r="Q80">
        <f>ROUND(L80*M80*N80/1000+O80+P80,2)</f>
        <v/>
      </c>
      <c r="R80" t="inlineStr">
        <is>
          <t>No</t>
        </is>
      </c>
      <c r="S80">
        <f>IF(OR(E80="",D80=""),"",MAX(0,E80-D80))</f>
        <v/>
      </c>
      <c r="T80" t="inlineStr">
        <is>
          <t>No</t>
        </is>
      </c>
      <c r="U80" t="n">
        <v>74</v>
      </c>
      <c r="V80" t="inlineStr">
        <is>
          <t>Failed</t>
        </is>
      </c>
      <c r="W80" t="n">
        <v>4</v>
      </c>
      <c r="X80" t="inlineStr">
        <is>
          <t>Customer Unavailable</t>
        </is>
      </c>
    </row>
    <row r="81">
      <c r="A81" t="inlineStr">
        <is>
          <t>ORD-2026-00080</t>
        </is>
      </c>
      <c r="B81" t="inlineStr">
        <is>
          <t>CUST-0165</t>
        </is>
      </c>
      <c r="C81" s="3" t="n">
        <v>46095</v>
      </c>
      <c r="D81" s="3" t="n">
        <v>46102</v>
      </c>
      <c r="E81" s="3" t="n">
        <v>46102</v>
      </c>
      <c r="F81" t="inlineStr">
        <is>
          <t>Jaipur</t>
        </is>
      </c>
      <c r="G81" t="inlineStr">
        <is>
          <t>Hyderabad</t>
        </is>
      </c>
      <c r="H81" t="inlineStr">
        <is>
          <t>DTDC</t>
        </is>
      </c>
      <c r="I81" t="inlineStr">
        <is>
          <t>Van</t>
        </is>
      </c>
      <c r="J81" t="inlineStr">
        <is>
          <t>Low</t>
        </is>
      </c>
      <c r="K81" t="inlineStr">
        <is>
          <t>Delivered</t>
        </is>
      </c>
      <c r="L81" t="n">
        <v>405.56</v>
      </c>
      <c r="M81" t="n">
        <v>822</v>
      </c>
      <c r="N81" t="n">
        <v>53.67</v>
      </c>
      <c r="O81" t="n">
        <v>685.33</v>
      </c>
      <c r="P81" t="n">
        <v>390</v>
      </c>
      <c r="Q81">
        <f>ROUND(L81*M81*N81/1000+O81+P81,2)</f>
        <v/>
      </c>
      <c r="R81" t="inlineStr">
        <is>
          <t>Yes</t>
        </is>
      </c>
      <c r="S81">
        <f>IF(OR(E81="",D81=""),"",MAX(0,E81-D81))</f>
        <v/>
      </c>
      <c r="T81" t="inlineStr">
        <is>
          <t>No</t>
        </is>
      </c>
      <c r="U81" t="n">
        <v>11</v>
      </c>
      <c r="V81" t="inlineStr">
        <is>
          <t>Pending</t>
        </is>
      </c>
      <c r="W81" t="n">
        <v>3</v>
      </c>
      <c r="X81" t="inlineStr">
        <is>
          <t>Weather</t>
        </is>
      </c>
    </row>
    <row r="82">
      <c r="A82" t="inlineStr">
        <is>
          <t>ORD-2026-00081</t>
        </is>
      </c>
      <c r="B82" t="inlineStr">
        <is>
          <t>CUST-0102</t>
        </is>
      </c>
      <c r="C82" s="3" t="n">
        <v>46154</v>
      </c>
      <c r="D82" s="3" t="n">
        <v>46157</v>
      </c>
      <c r="E82" s="3" t="n">
        <v>46160</v>
      </c>
      <c r="F82" t="inlineStr">
        <is>
          <t>Surat</t>
        </is>
      </c>
      <c r="G82" t="inlineStr">
        <is>
          <t>Hyderabad</t>
        </is>
      </c>
      <c r="H82" t="inlineStr">
        <is>
          <t>DHL</t>
        </is>
      </c>
      <c r="I82" t="inlineStr">
        <is>
          <t>Container</t>
        </is>
      </c>
      <c r="J82" t="inlineStr">
        <is>
          <t>Low</t>
        </is>
      </c>
      <c r="K82" t="inlineStr">
        <is>
          <t>Delivered</t>
        </is>
      </c>
      <c r="L82" t="n">
        <v>2276.31</v>
      </c>
      <c r="M82" t="n">
        <v>1852</v>
      </c>
      <c r="N82" t="n">
        <v>58.42</v>
      </c>
      <c r="O82" t="n">
        <v>21138.03</v>
      </c>
      <c r="P82" t="n">
        <v>634.05</v>
      </c>
      <c r="Q82">
        <f>ROUND(L82*M82*N82/1000+O82+P82,2)</f>
        <v/>
      </c>
      <c r="R82" t="inlineStr">
        <is>
          <t>No</t>
        </is>
      </c>
      <c r="S82">
        <f>IF(OR(E82="",D82=""),"",MAX(0,E82-D82))</f>
        <v/>
      </c>
      <c r="T82" t="inlineStr">
        <is>
          <t>No</t>
        </is>
      </c>
      <c r="U82" t="n">
        <v>29</v>
      </c>
      <c r="V82" t="inlineStr">
        <is>
          <t>Paid</t>
        </is>
      </c>
      <c r="W82" t="n">
        <v>3</v>
      </c>
      <c r="X82" t="inlineStr">
        <is>
          <t>None</t>
        </is>
      </c>
    </row>
    <row r="83">
      <c r="A83" t="inlineStr">
        <is>
          <t>ORD-2026-00082</t>
        </is>
      </c>
      <c r="B83" t="inlineStr">
        <is>
          <t>CUST-0115</t>
        </is>
      </c>
      <c r="C83" s="3" t="n">
        <v>46237</v>
      </c>
      <c r="D83" s="3" t="n">
        <v>46243</v>
      </c>
      <c r="E83" s="3" t="n">
        <v>46245</v>
      </c>
      <c r="F83" t="inlineStr">
        <is>
          <t>Kolkata</t>
        </is>
      </c>
      <c r="G83" t="inlineStr">
        <is>
          <t>Ahmedabad</t>
        </is>
      </c>
      <c r="H83" t="inlineStr">
        <is>
          <t>BlueDart</t>
        </is>
      </c>
      <c r="I83" t="inlineStr">
        <is>
          <t>Van</t>
        </is>
      </c>
      <c r="J83" t="inlineStr">
        <is>
          <t>High</t>
        </is>
      </c>
      <c r="K83" t="inlineStr">
        <is>
          <t>Delivered</t>
        </is>
      </c>
      <c r="L83" t="n">
        <v>717.5599999999999</v>
      </c>
      <c r="M83" t="n">
        <v>1940</v>
      </c>
      <c r="N83" t="n">
        <v>47.68</v>
      </c>
      <c r="O83" t="n">
        <v>2543.94</v>
      </c>
      <c r="P83" t="n">
        <v>1064.19</v>
      </c>
      <c r="Q83">
        <f>ROUND(L83*M83*N83/1000+O83+P83,2)</f>
        <v/>
      </c>
      <c r="R83" t="inlineStr">
        <is>
          <t>No</t>
        </is>
      </c>
      <c r="S83">
        <f>IF(OR(E83="",D83=""),"",MAX(0,E83-D83))</f>
        <v/>
      </c>
      <c r="T83" t="inlineStr">
        <is>
          <t>Yes</t>
        </is>
      </c>
      <c r="U83" t="n">
        <v>20</v>
      </c>
      <c r="V83" t="inlineStr">
        <is>
          <t>Failed</t>
        </is>
      </c>
      <c r="W83" t="n">
        <v>1</v>
      </c>
      <c r="X83" t="inlineStr">
        <is>
          <t>Customer Unavailable</t>
        </is>
      </c>
    </row>
    <row r="84">
      <c r="A84" t="inlineStr">
        <is>
          <t>ORD-2026-00083</t>
        </is>
      </c>
      <c r="B84" t="inlineStr">
        <is>
          <t>CUST-0153</t>
        </is>
      </c>
      <c r="C84" s="3" t="n">
        <v>46096</v>
      </c>
      <c r="D84" s="3" t="n">
        <v>46100</v>
      </c>
      <c r="E84" s="3" t="n"/>
      <c r="F84" t="inlineStr">
        <is>
          <t>Surat</t>
        </is>
      </c>
      <c r="G84" t="inlineStr">
        <is>
          <t>Ahmedabad</t>
        </is>
      </c>
      <c r="H84" t="inlineStr">
        <is>
          <t>Maersk</t>
        </is>
      </c>
      <c r="I84" t="inlineStr">
        <is>
          <t>Bike</t>
        </is>
      </c>
      <c r="J84" t="inlineStr">
        <is>
          <t>Normal</t>
        </is>
      </c>
      <c r="K84" t="inlineStr">
        <is>
          <t>Exception</t>
        </is>
      </c>
      <c r="L84" t="n">
        <v>1597.56</v>
      </c>
      <c r="M84" t="n">
        <v>2556</v>
      </c>
      <c r="N84" t="n">
        <v>34.06</v>
      </c>
      <c r="O84" t="n">
        <v>5097.46</v>
      </c>
      <c r="P84" t="n">
        <v>1359.62</v>
      </c>
      <c r="Q84">
        <f>ROUND(L84*M84*N84/1000+O84+P84,2)</f>
        <v/>
      </c>
      <c r="R84" t="inlineStr">
        <is>
          <t>No</t>
        </is>
      </c>
      <c r="S84">
        <f>IF(OR(E84="",D84=""),"",MAX(0,E84-D84))</f>
        <v/>
      </c>
      <c r="T84" t="inlineStr">
        <is>
          <t>Yes</t>
        </is>
      </c>
      <c r="U84" t="n">
        <v>38</v>
      </c>
      <c r="V84" t="inlineStr">
        <is>
          <t>Failed</t>
        </is>
      </c>
      <c r="W84" t="n">
        <v>1</v>
      </c>
      <c r="X84" t="inlineStr">
        <is>
          <t>Customs</t>
        </is>
      </c>
    </row>
    <row r="85">
      <c r="A85" t="inlineStr">
        <is>
          <t>ORD-2026-00084</t>
        </is>
      </c>
      <c r="B85" t="inlineStr">
        <is>
          <t>CUST-0130</t>
        </is>
      </c>
      <c r="C85" s="3" t="n">
        <v>46113</v>
      </c>
      <c r="D85" s="3" t="n">
        <v>46117</v>
      </c>
      <c r="E85" s="3" t="n">
        <v>46118</v>
      </c>
      <c r="F85" t="inlineStr">
        <is>
          <t>Surat</t>
        </is>
      </c>
      <c r="G85" t="inlineStr">
        <is>
          <t>Surat</t>
        </is>
      </c>
      <c r="H85" t="inlineStr">
        <is>
          <t>BlueDart</t>
        </is>
      </c>
      <c r="I85" t="inlineStr">
        <is>
          <t>Container</t>
        </is>
      </c>
      <c r="J85" t="inlineStr">
        <is>
          <t>Critical</t>
        </is>
      </c>
      <c r="K85" t="inlineStr">
        <is>
          <t>Delivered</t>
        </is>
      </c>
      <c r="L85" t="n">
        <v>1670.7</v>
      </c>
      <c r="M85" t="n">
        <v>2149</v>
      </c>
      <c r="N85" t="n">
        <v>63.56</v>
      </c>
      <c r="O85" t="n">
        <v>7772.72</v>
      </c>
      <c r="P85" t="n">
        <v>798.5700000000001</v>
      </c>
      <c r="Q85">
        <f>ROUND(L85*M85*N85/1000+O85+P85,2)</f>
        <v/>
      </c>
      <c r="R85" t="inlineStr">
        <is>
          <t>No</t>
        </is>
      </c>
      <c r="S85">
        <f>IF(OR(E85="",D85=""),"",MAX(0,E85-D85))</f>
        <v/>
      </c>
      <c r="T85" t="inlineStr">
        <is>
          <t>Yes</t>
        </is>
      </c>
      <c r="U85" t="n">
        <v>50</v>
      </c>
      <c r="V85" t="inlineStr">
        <is>
          <t>COD</t>
        </is>
      </c>
      <c r="W85" t="n">
        <v>3</v>
      </c>
      <c r="X85" t="inlineStr">
        <is>
          <t>Damaged Package</t>
        </is>
      </c>
    </row>
    <row r="86">
      <c r="A86" t="inlineStr">
        <is>
          <t>ORD-2026-00085</t>
        </is>
      </c>
      <c r="B86" t="inlineStr">
        <is>
          <t>CUST-0035</t>
        </is>
      </c>
      <c r="C86" s="3" t="n">
        <v>46027</v>
      </c>
      <c r="D86" s="3" t="n">
        <v>46033</v>
      </c>
      <c r="E86" s="3" t="n">
        <v>46035</v>
      </c>
      <c r="F86" t="inlineStr">
        <is>
          <t>Ahmedabad</t>
        </is>
      </c>
      <c r="G86" t="inlineStr">
        <is>
          <t>Hyderabad</t>
        </is>
      </c>
      <c r="H86" t="inlineStr">
        <is>
          <t>DTDC</t>
        </is>
      </c>
      <c r="I86" t="inlineStr">
        <is>
          <t>Refrigerated Truck</t>
        </is>
      </c>
      <c r="J86" t="inlineStr">
        <is>
          <t>Normal</t>
        </is>
      </c>
      <c r="K86" t="inlineStr">
        <is>
          <t>Delivered</t>
        </is>
      </c>
      <c r="L86" t="n">
        <v>1832.49</v>
      </c>
      <c r="M86" t="n">
        <v>2578</v>
      </c>
      <c r="N86" t="n">
        <v>13.91</v>
      </c>
      <c r="O86" t="n">
        <v>4265.71</v>
      </c>
      <c r="P86" t="n">
        <v>1139.88</v>
      </c>
      <c r="Q86">
        <f>ROUND(L86*M86*N86/1000+O86+P86,2)</f>
        <v/>
      </c>
      <c r="R86" t="inlineStr">
        <is>
          <t>No</t>
        </is>
      </c>
      <c r="S86">
        <f>IF(OR(E86="",D86=""),"",MAX(0,E86-D86))</f>
        <v/>
      </c>
      <c r="T86" t="inlineStr">
        <is>
          <t>No</t>
        </is>
      </c>
      <c r="U86" t="n">
        <v>62</v>
      </c>
      <c r="V86" t="inlineStr">
        <is>
          <t>Pending</t>
        </is>
      </c>
      <c r="W86" t="n">
        <v>2</v>
      </c>
      <c r="X86" t="inlineStr">
        <is>
          <t>None</t>
        </is>
      </c>
    </row>
    <row r="87">
      <c r="A87" t="inlineStr">
        <is>
          <t>ORD-2026-00086</t>
        </is>
      </c>
      <c r="B87" t="inlineStr">
        <is>
          <t>CUST-0209</t>
        </is>
      </c>
      <c r="C87" s="3" t="n">
        <v>46206</v>
      </c>
      <c r="D87" s="3" t="n">
        <v>46214</v>
      </c>
      <c r="E87" s="3" t="n">
        <v>46214</v>
      </c>
      <c r="F87" t="inlineStr">
        <is>
          <t>Surat</t>
        </is>
      </c>
      <c r="G87" t="inlineStr">
        <is>
          <t>Jaipur</t>
        </is>
      </c>
      <c r="H87" t="inlineStr">
        <is>
          <t>FedEx</t>
        </is>
      </c>
      <c r="I87" t="inlineStr">
        <is>
          <t>Van</t>
        </is>
      </c>
      <c r="J87" t="inlineStr">
        <is>
          <t>Normal</t>
        </is>
      </c>
      <c r="K87" t="inlineStr">
        <is>
          <t>Delivered</t>
        </is>
      </c>
      <c r="L87" t="n">
        <v>1977.88</v>
      </c>
      <c r="M87" t="n">
        <v>176</v>
      </c>
      <c r="N87" t="n">
        <v>25.99</v>
      </c>
      <c r="O87" t="n">
        <v>439.74</v>
      </c>
      <c r="P87" t="n">
        <v>609.37</v>
      </c>
      <c r="Q87">
        <f>ROUND(L87*M87*N87/1000+O87+P87,2)</f>
        <v/>
      </c>
      <c r="R87" t="inlineStr">
        <is>
          <t>Yes</t>
        </is>
      </c>
      <c r="S87">
        <f>IF(OR(E87="",D87=""),"",MAX(0,E87-D87))</f>
        <v/>
      </c>
      <c r="T87" t="inlineStr">
        <is>
          <t>No</t>
        </is>
      </c>
      <c r="U87" t="n">
        <v>46</v>
      </c>
      <c r="V87" t="inlineStr">
        <is>
          <t>Paid</t>
        </is>
      </c>
      <c r="W87" t="n">
        <v>3</v>
      </c>
      <c r="X87" t="inlineStr">
        <is>
          <t>Vehicle Breakdown</t>
        </is>
      </c>
    </row>
    <row r="88">
      <c r="A88" t="inlineStr">
        <is>
          <t>ORD-2026-00087</t>
        </is>
      </c>
      <c r="B88" t="inlineStr">
        <is>
          <t>CUST-0095</t>
        </is>
      </c>
      <c r="C88" s="3" t="n">
        <v>46054</v>
      </c>
      <c r="D88" s="3" t="n">
        <v>46060</v>
      </c>
      <c r="E88" s="3" t="n">
        <v>46060</v>
      </c>
      <c r="F88" t="inlineStr">
        <is>
          <t>Surat</t>
        </is>
      </c>
      <c r="G88" t="inlineStr">
        <is>
          <t>Pune</t>
        </is>
      </c>
      <c r="H88" t="inlineStr">
        <is>
          <t>Aramex</t>
        </is>
      </c>
      <c r="I88" t="inlineStr">
        <is>
          <t>Van</t>
        </is>
      </c>
      <c r="J88" t="inlineStr">
        <is>
          <t>Critical</t>
        </is>
      </c>
      <c r="K88" t="inlineStr">
        <is>
          <t>Delivered</t>
        </is>
      </c>
      <c r="L88" t="n">
        <v>1099.62</v>
      </c>
      <c r="M88" t="n">
        <v>1588</v>
      </c>
      <c r="N88" t="n">
        <v>27.33</v>
      </c>
      <c r="O88" t="n">
        <v>1966.64</v>
      </c>
      <c r="P88" t="n">
        <v>1044.26</v>
      </c>
      <c r="Q88">
        <f>ROUND(L88*M88*N88/1000+O88+P88,2)</f>
        <v/>
      </c>
      <c r="R88" t="inlineStr">
        <is>
          <t>Yes</t>
        </is>
      </c>
      <c r="S88">
        <f>IF(OR(E88="",D88=""),"",MAX(0,E88-D88))</f>
        <v/>
      </c>
      <c r="T88" t="inlineStr">
        <is>
          <t>Yes</t>
        </is>
      </c>
      <c r="U88" t="n">
        <v>56</v>
      </c>
      <c r="V88" t="inlineStr">
        <is>
          <t>Pending</t>
        </is>
      </c>
      <c r="W88" t="n">
        <v>5</v>
      </c>
      <c r="X88" t="inlineStr">
        <is>
          <t>Vehicle Breakdown</t>
        </is>
      </c>
    </row>
    <row r="89">
      <c r="A89" t="inlineStr">
        <is>
          <t>ORD-2026-00088</t>
        </is>
      </c>
      <c r="B89" t="inlineStr">
        <is>
          <t>CUST-0115</t>
        </is>
      </c>
      <c r="C89" s="3" t="n">
        <v>46105</v>
      </c>
      <c r="D89" s="3" t="n">
        <v>46107</v>
      </c>
      <c r="E89" s="3" t="n">
        <v>46107</v>
      </c>
      <c r="F89" t="inlineStr">
        <is>
          <t>Ahmedabad</t>
        </is>
      </c>
      <c r="G89" t="inlineStr">
        <is>
          <t>Hyderabad</t>
        </is>
      </c>
      <c r="H89" t="inlineStr">
        <is>
          <t>DTDC</t>
        </is>
      </c>
      <c r="I89" t="inlineStr">
        <is>
          <t>Container</t>
        </is>
      </c>
      <c r="J89" t="inlineStr">
        <is>
          <t>High</t>
        </is>
      </c>
      <c r="K89" t="inlineStr">
        <is>
          <t>Delivered</t>
        </is>
      </c>
      <c r="L89" t="n">
        <v>766.59</v>
      </c>
      <c r="M89" t="n">
        <v>2473</v>
      </c>
      <c r="N89" t="n">
        <v>48.91</v>
      </c>
      <c r="O89" t="n">
        <v>3708.78</v>
      </c>
      <c r="P89" t="n">
        <v>676.98</v>
      </c>
      <c r="Q89">
        <f>ROUND(L89*M89*N89/1000+O89+P89,2)</f>
        <v/>
      </c>
      <c r="R89" t="inlineStr">
        <is>
          <t>Yes</t>
        </is>
      </c>
      <c r="S89">
        <f>IF(OR(E89="",D89=""),"",MAX(0,E89-D89))</f>
        <v/>
      </c>
      <c r="T89" t="inlineStr">
        <is>
          <t>Yes</t>
        </is>
      </c>
      <c r="U89" t="n">
        <v>10</v>
      </c>
      <c r="V89" t="inlineStr">
        <is>
          <t>Failed</t>
        </is>
      </c>
      <c r="W89" t="n">
        <v>3</v>
      </c>
      <c r="X89" t="inlineStr">
        <is>
          <t>Customs</t>
        </is>
      </c>
    </row>
    <row r="90">
      <c r="A90" t="inlineStr">
        <is>
          <t>ORD-2026-00089</t>
        </is>
      </c>
      <c r="B90" t="inlineStr">
        <is>
          <t>CUST-0094</t>
        </is>
      </c>
      <c r="C90" s="3" t="n">
        <v>46228</v>
      </c>
      <c r="D90" s="3" t="n">
        <v>46231</v>
      </c>
      <c r="E90" s="3" t="n">
        <v>46236</v>
      </c>
      <c r="F90" t="inlineStr">
        <is>
          <t>Hyderabad</t>
        </is>
      </c>
      <c r="G90" t="inlineStr">
        <is>
          <t>Chennai</t>
        </is>
      </c>
      <c r="H90" t="inlineStr">
        <is>
          <t>DTDC</t>
        </is>
      </c>
      <c r="I90" t="inlineStr">
        <is>
          <t>Van</t>
        </is>
      </c>
      <c r="J90" t="inlineStr">
        <is>
          <t>Normal</t>
        </is>
      </c>
      <c r="K90" t="inlineStr">
        <is>
          <t>Delivered</t>
        </is>
      </c>
      <c r="L90" t="n">
        <v>1519.13</v>
      </c>
      <c r="M90" t="n">
        <v>1799</v>
      </c>
      <c r="N90" t="n">
        <v>9.98</v>
      </c>
      <c r="O90" t="n">
        <v>928.26</v>
      </c>
      <c r="P90" t="n">
        <v>1172.2</v>
      </c>
      <c r="Q90">
        <f>ROUND(L90*M90*N90/1000+O90+P90,2)</f>
        <v/>
      </c>
      <c r="R90" t="inlineStr">
        <is>
          <t>No</t>
        </is>
      </c>
      <c r="S90">
        <f>IF(OR(E90="",D90=""),"",MAX(0,E90-D90))</f>
        <v/>
      </c>
      <c r="T90" t="inlineStr">
        <is>
          <t>No</t>
        </is>
      </c>
      <c r="U90" t="n">
        <v>48</v>
      </c>
      <c r="V90" t="inlineStr">
        <is>
          <t>COD</t>
        </is>
      </c>
      <c r="W90" t="n">
        <v>4</v>
      </c>
      <c r="X90" t="inlineStr">
        <is>
          <t>Customer Unavailable</t>
        </is>
      </c>
    </row>
    <row r="91">
      <c r="A91" t="inlineStr">
        <is>
          <t>ORD-2026-00090</t>
        </is>
      </c>
      <c r="B91" t="inlineStr">
        <is>
          <t>CUST-0133</t>
        </is>
      </c>
      <c r="C91" s="3" t="n">
        <v>46042</v>
      </c>
      <c r="D91" s="3" t="n">
        <v>46045</v>
      </c>
      <c r="E91" s="3" t="n">
        <v>46045</v>
      </c>
      <c r="F91" t="inlineStr">
        <is>
          <t>Chennai</t>
        </is>
      </c>
      <c r="G91" t="inlineStr">
        <is>
          <t>Surat</t>
        </is>
      </c>
      <c r="H91" t="inlineStr">
        <is>
          <t>BlueDart</t>
        </is>
      </c>
      <c r="I91" t="inlineStr">
        <is>
          <t>Refrigerated Truck</t>
        </is>
      </c>
      <c r="J91" t="inlineStr">
        <is>
          <t>High</t>
        </is>
      </c>
      <c r="K91" t="inlineStr">
        <is>
          <t>Delivered</t>
        </is>
      </c>
      <c r="L91" t="n">
        <v>1624.08</v>
      </c>
      <c r="M91" t="n">
        <v>1027</v>
      </c>
      <c r="N91" t="n">
        <v>62.75</v>
      </c>
      <c r="O91" t="n">
        <v>3302.61</v>
      </c>
      <c r="P91" t="n">
        <v>295.35</v>
      </c>
      <c r="Q91">
        <f>ROUND(L91*M91*N91/1000+O91+P91,2)</f>
        <v/>
      </c>
      <c r="R91" t="inlineStr">
        <is>
          <t>Yes</t>
        </is>
      </c>
      <c r="S91">
        <f>IF(OR(E91="",D91=""),"",MAX(0,E91-D91))</f>
        <v/>
      </c>
      <c r="T91" t="inlineStr">
        <is>
          <t>No</t>
        </is>
      </c>
      <c r="U91" t="n">
        <v>28</v>
      </c>
      <c r="V91" t="inlineStr">
        <is>
          <t>COD</t>
        </is>
      </c>
      <c r="W91" t="n">
        <v>4</v>
      </c>
      <c r="X91" t="inlineStr">
        <is>
          <t>Address Error</t>
        </is>
      </c>
    </row>
    <row r="92">
      <c r="A92" t="inlineStr">
        <is>
          <t>ORD-2026-00091</t>
        </is>
      </c>
      <c r="B92" t="inlineStr">
        <is>
          <t>CUST-0082</t>
        </is>
      </c>
      <c r="C92" s="3" t="n">
        <v>46054</v>
      </c>
      <c r="D92" s="3" t="n">
        <v>46057</v>
      </c>
      <c r="E92" s="3" t="n">
        <v>46060</v>
      </c>
      <c r="F92" t="inlineStr">
        <is>
          <t>Hyderabad</t>
        </is>
      </c>
      <c r="G92" t="inlineStr">
        <is>
          <t>Mumbai</t>
        </is>
      </c>
      <c r="H92" t="inlineStr">
        <is>
          <t>DTDC</t>
        </is>
      </c>
      <c r="I92" t="inlineStr">
        <is>
          <t>Bike</t>
        </is>
      </c>
      <c r="J92" t="inlineStr">
        <is>
          <t>High</t>
        </is>
      </c>
      <c r="K92" t="inlineStr">
        <is>
          <t>Delivered</t>
        </is>
      </c>
      <c r="L92" t="n">
        <v>2246.75</v>
      </c>
      <c r="M92" t="n">
        <v>1828</v>
      </c>
      <c r="N92" t="n">
        <v>64.84</v>
      </c>
      <c r="O92" t="n">
        <v>20939.51</v>
      </c>
      <c r="P92" t="n">
        <v>1451.99</v>
      </c>
      <c r="Q92">
        <f>ROUND(L92*M92*N92/1000+O92+P92,2)</f>
        <v/>
      </c>
      <c r="R92" t="inlineStr">
        <is>
          <t>No</t>
        </is>
      </c>
      <c r="S92">
        <f>IF(OR(E92="",D92=""),"",MAX(0,E92-D92))</f>
        <v/>
      </c>
      <c r="T92" t="inlineStr">
        <is>
          <t>No</t>
        </is>
      </c>
      <c r="U92" t="n">
        <v>21</v>
      </c>
      <c r="V92" t="inlineStr">
        <is>
          <t>Pending</t>
        </is>
      </c>
      <c r="W92" t="n">
        <v>3</v>
      </c>
      <c r="X92" t="inlineStr">
        <is>
          <t>Customs</t>
        </is>
      </c>
    </row>
    <row r="93">
      <c r="A93" t="inlineStr">
        <is>
          <t>ORD-2026-00092</t>
        </is>
      </c>
      <c r="B93" t="inlineStr">
        <is>
          <t>CUST-0206</t>
        </is>
      </c>
      <c r="C93" s="3" t="n">
        <v>46080</v>
      </c>
      <c r="D93" s="3" t="n">
        <v>46082</v>
      </c>
      <c r="E93" s="3" t="n">
        <v>46092</v>
      </c>
      <c r="F93" t="inlineStr">
        <is>
          <t>Surat</t>
        </is>
      </c>
      <c r="G93" t="inlineStr">
        <is>
          <t>Delhi</t>
        </is>
      </c>
      <c r="H93" t="inlineStr">
        <is>
          <t>DTDC</t>
        </is>
      </c>
      <c r="I93" t="inlineStr">
        <is>
          <t>Van</t>
        </is>
      </c>
      <c r="J93" t="inlineStr">
        <is>
          <t>Low</t>
        </is>
      </c>
      <c r="K93" t="inlineStr">
        <is>
          <t>Delivered</t>
        </is>
      </c>
      <c r="L93" t="n">
        <v>592.22</v>
      </c>
      <c r="M93" t="n">
        <v>2028</v>
      </c>
      <c r="N93" t="n">
        <v>9.5</v>
      </c>
      <c r="O93" t="n">
        <v>721.5599999999999</v>
      </c>
      <c r="P93" t="n">
        <v>565.99</v>
      </c>
      <c r="Q93">
        <f>ROUND(L93*M93*N93/1000+O93+P93,2)</f>
        <v/>
      </c>
      <c r="R93" t="inlineStr">
        <is>
          <t>No</t>
        </is>
      </c>
      <c r="S93">
        <f>IF(OR(E93="",D93=""),"",MAX(0,E93-D93))</f>
        <v/>
      </c>
      <c r="T93" t="inlineStr">
        <is>
          <t>No</t>
        </is>
      </c>
      <c r="U93" t="n">
        <v>51</v>
      </c>
      <c r="V93" t="inlineStr">
        <is>
          <t>Failed</t>
        </is>
      </c>
      <c r="W93" t="n">
        <v>5</v>
      </c>
      <c r="X93" t="inlineStr">
        <is>
          <t>Weather</t>
        </is>
      </c>
    </row>
    <row r="94">
      <c r="A94" t="inlineStr">
        <is>
          <t>ORD-2026-00093</t>
        </is>
      </c>
      <c r="B94" t="inlineStr">
        <is>
          <t>CUST-0200</t>
        </is>
      </c>
      <c r="C94" s="3" t="n">
        <v>46219</v>
      </c>
      <c r="D94" s="3" t="n">
        <v>46226</v>
      </c>
      <c r="E94" s="3" t="n">
        <v>46232</v>
      </c>
      <c r="F94" t="inlineStr">
        <is>
          <t>Surat</t>
        </is>
      </c>
      <c r="G94" t="inlineStr">
        <is>
          <t>Kolkata</t>
        </is>
      </c>
      <c r="H94" t="inlineStr">
        <is>
          <t>DHL</t>
        </is>
      </c>
      <c r="I94" t="inlineStr">
        <is>
          <t>Truck</t>
        </is>
      </c>
      <c r="J94" t="inlineStr">
        <is>
          <t>Critical</t>
        </is>
      </c>
      <c r="K94" t="inlineStr">
        <is>
          <t>Delayed</t>
        </is>
      </c>
      <c r="L94" t="n">
        <v>185.88</v>
      </c>
      <c r="M94" t="n">
        <v>1913</v>
      </c>
      <c r="N94" t="n">
        <v>46.77</v>
      </c>
      <c r="O94" t="n">
        <v>842.7</v>
      </c>
      <c r="P94" t="n">
        <v>1319.38</v>
      </c>
      <c r="Q94">
        <f>ROUND(L94*M94*N94/1000+O94+P94,2)</f>
        <v/>
      </c>
      <c r="R94" t="inlineStr">
        <is>
          <t>No</t>
        </is>
      </c>
      <c r="S94">
        <f>IF(OR(E94="",D94=""),"",MAX(0,E94-D94))</f>
        <v/>
      </c>
      <c r="T94" t="inlineStr">
        <is>
          <t>Yes</t>
        </is>
      </c>
      <c r="U94" t="n">
        <v>16</v>
      </c>
      <c r="V94" t="inlineStr">
        <is>
          <t>Pending</t>
        </is>
      </c>
      <c r="W94" t="n">
        <v>3</v>
      </c>
      <c r="X94" t="inlineStr">
        <is>
          <t>Address Error</t>
        </is>
      </c>
    </row>
    <row r="95">
      <c r="A95" t="inlineStr">
        <is>
          <t>ORD-2026-00094</t>
        </is>
      </c>
      <c r="B95" t="inlineStr">
        <is>
          <t>CUST-0163</t>
        </is>
      </c>
      <c r="C95" s="3" t="n">
        <v>46064</v>
      </c>
      <c r="D95" s="3" t="n">
        <v>46070</v>
      </c>
      <c r="E95" s="3" t="n">
        <v>46075</v>
      </c>
      <c r="F95" t="inlineStr">
        <is>
          <t>Surat</t>
        </is>
      </c>
      <c r="G95" t="inlineStr">
        <is>
          <t>Pune</t>
        </is>
      </c>
      <c r="H95" t="inlineStr">
        <is>
          <t>DHL</t>
        </is>
      </c>
      <c r="I95" t="inlineStr">
        <is>
          <t>Refrigerated Truck</t>
        </is>
      </c>
      <c r="J95" t="inlineStr">
        <is>
          <t>Low</t>
        </is>
      </c>
      <c r="K95" t="inlineStr">
        <is>
          <t>Delivered</t>
        </is>
      </c>
      <c r="L95" t="n">
        <v>2368.73</v>
      </c>
      <c r="M95" t="n">
        <v>2130</v>
      </c>
      <c r="N95" t="n">
        <v>59.01</v>
      </c>
      <c r="O95" t="n">
        <v>24043.39</v>
      </c>
      <c r="P95" t="n">
        <v>390.9</v>
      </c>
      <c r="Q95">
        <f>ROUND(L95*M95*N95/1000+O95+P95,2)</f>
        <v/>
      </c>
      <c r="R95" t="inlineStr">
        <is>
          <t>No</t>
        </is>
      </c>
      <c r="S95">
        <f>IF(OR(E95="",D95=""),"",MAX(0,E95-D95))</f>
        <v/>
      </c>
      <c r="T95" t="inlineStr">
        <is>
          <t>Yes</t>
        </is>
      </c>
      <c r="U95" t="n">
        <v>76</v>
      </c>
      <c r="V95" t="inlineStr">
        <is>
          <t>Pending</t>
        </is>
      </c>
      <c r="W95" t="n">
        <v>2</v>
      </c>
      <c r="X95" t="inlineStr">
        <is>
          <t>Damaged Package</t>
        </is>
      </c>
    </row>
    <row r="96">
      <c r="A96" t="inlineStr">
        <is>
          <t>ORD-2026-00095</t>
        </is>
      </c>
      <c r="B96" t="inlineStr">
        <is>
          <t>CUST-0068</t>
        </is>
      </c>
      <c r="C96" s="3" t="n">
        <v>46182</v>
      </c>
      <c r="D96" s="3" t="n">
        <v>46188</v>
      </c>
      <c r="E96" s="3" t="n">
        <v>46191</v>
      </c>
      <c r="F96" t="inlineStr">
        <is>
          <t>Bengaluru</t>
        </is>
      </c>
      <c r="G96" t="inlineStr">
        <is>
          <t>Kolkata</t>
        </is>
      </c>
      <c r="H96" t="inlineStr">
        <is>
          <t>Delhivery</t>
        </is>
      </c>
      <c r="I96" t="inlineStr">
        <is>
          <t>Bike</t>
        </is>
      </c>
      <c r="J96" t="inlineStr">
        <is>
          <t>Low</t>
        </is>
      </c>
      <c r="K96" t="inlineStr">
        <is>
          <t>Delivered</t>
        </is>
      </c>
      <c r="L96" t="n">
        <v>2063.18</v>
      </c>
      <c r="M96" t="n">
        <v>121</v>
      </c>
      <c r="N96" t="n">
        <v>12.63</v>
      </c>
      <c r="O96" t="n">
        <v>274.04</v>
      </c>
      <c r="P96" t="n">
        <v>1161.11</v>
      </c>
      <c r="Q96">
        <f>ROUND(L96*M96*N96/1000+O96+P96,2)</f>
        <v/>
      </c>
      <c r="R96" t="inlineStr">
        <is>
          <t>No</t>
        </is>
      </c>
      <c r="S96">
        <f>IF(OR(E96="",D96=""),"",MAX(0,E96-D96))</f>
        <v/>
      </c>
      <c r="T96" t="inlineStr">
        <is>
          <t>No</t>
        </is>
      </c>
      <c r="U96" t="n">
        <v>70</v>
      </c>
      <c r="V96" t="inlineStr">
        <is>
          <t>COD</t>
        </is>
      </c>
      <c r="W96" t="n">
        <v>3</v>
      </c>
      <c r="X96" t="inlineStr">
        <is>
          <t>Weather</t>
        </is>
      </c>
    </row>
    <row r="97">
      <c r="A97" t="inlineStr">
        <is>
          <t>ORD-2026-00096</t>
        </is>
      </c>
      <c r="B97" t="inlineStr">
        <is>
          <t>CUST-0081</t>
        </is>
      </c>
      <c r="C97" s="3" t="n">
        <v>46085</v>
      </c>
      <c r="D97" s="3" t="n">
        <v>46092</v>
      </c>
      <c r="E97" s="3" t="n"/>
      <c r="F97" t="inlineStr">
        <is>
          <t>Hyderabad</t>
        </is>
      </c>
      <c r="G97" t="inlineStr">
        <is>
          <t>Hyderabad</t>
        </is>
      </c>
      <c r="H97" t="inlineStr">
        <is>
          <t>Delhivery</t>
        </is>
      </c>
      <c r="I97" t="inlineStr">
        <is>
          <t>Truck</t>
        </is>
      </c>
      <c r="J97" t="inlineStr">
        <is>
          <t>High</t>
        </is>
      </c>
      <c r="K97" t="inlineStr">
        <is>
          <t>In Transit</t>
        </is>
      </c>
      <c r="L97" t="n">
        <v>395.62</v>
      </c>
      <c r="M97" t="n">
        <v>1707</v>
      </c>
      <c r="N97" t="n">
        <v>35.6</v>
      </c>
      <c r="O97" t="n">
        <v>1015.55</v>
      </c>
      <c r="P97" t="n">
        <v>917.86</v>
      </c>
      <c r="Q97">
        <f>ROUND(L97*M97*N97/1000+O97+P97,2)</f>
        <v/>
      </c>
      <c r="R97" t="inlineStr">
        <is>
          <t>No</t>
        </is>
      </c>
      <c r="S97">
        <f>IF(OR(E97="",D97=""),"",MAX(0,E97-D97))</f>
        <v/>
      </c>
      <c r="T97" t="inlineStr">
        <is>
          <t>Yes</t>
        </is>
      </c>
      <c r="U97" t="n">
        <v>41</v>
      </c>
      <c r="V97" t="inlineStr">
        <is>
          <t>Pending</t>
        </is>
      </c>
      <c r="W97" t="n">
        <v>4</v>
      </c>
      <c r="X97" t="inlineStr">
        <is>
          <t>None</t>
        </is>
      </c>
    </row>
    <row r="98">
      <c r="A98" t="inlineStr">
        <is>
          <t>ORD-2026-00097</t>
        </is>
      </c>
      <c r="B98" t="inlineStr">
        <is>
          <t>CUST-0231</t>
        </is>
      </c>
      <c r="C98" s="3" t="n">
        <v>46091</v>
      </c>
      <c r="D98" s="3" t="n">
        <v>46099</v>
      </c>
      <c r="E98" s="3" t="n">
        <v>46099</v>
      </c>
      <c r="F98" t="inlineStr">
        <is>
          <t>Delhi</t>
        </is>
      </c>
      <c r="G98" t="inlineStr">
        <is>
          <t>Hyderabad</t>
        </is>
      </c>
      <c r="H98" t="inlineStr">
        <is>
          <t>DTDC</t>
        </is>
      </c>
      <c r="I98" t="inlineStr">
        <is>
          <t>Refrigerated Truck</t>
        </is>
      </c>
      <c r="J98" t="inlineStr">
        <is>
          <t>Normal</t>
        </is>
      </c>
      <c r="K98" t="inlineStr">
        <is>
          <t>Delivered</t>
        </is>
      </c>
      <c r="L98" t="n">
        <v>725.88</v>
      </c>
      <c r="M98" t="n">
        <v>1578</v>
      </c>
      <c r="N98" t="n">
        <v>57.26</v>
      </c>
      <c r="O98" t="n">
        <v>3613.11</v>
      </c>
      <c r="P98" t="n">
        <v>1444.78</v>
      </c>
      <c r="Q98">
        <f>ROUND(L98*M98*N98/1000+O98+P98,2)</f>
        <v/>
      </c>
      <c r="R98" t="inlineStr">
        <is>
          <t>Yes</t>
        </is>
      </c>
      <c r="S98">
        <f>IF(OR(E98="",D98=""),"",MAX(0,E98-D98))</f>
        <v/>
      </c>
      <c r="T98" t="inlineStr">
        <is>
          <t>Yes</t>
        </is>
      </c>
      <c r="U98" t="n">
        <v>64</v>
      </c>
      <c r="V98" t="inlineStr">
        <is>
          <t>Failed</t>
        </is>
      </c>
      <c r="W98" t="n">
        <v>4</v>
      </c>
      <c r="X98" t="inlineStr">
        <is>
          <t>Vehicle Breakdown</t>
        </is>
      </c>
    </row>
    <row r="99">
      <c r="A99" t="inlineStr">
        <is>
          <t>ORD-2026-00098</t>
        </is>
      </c>
      <c r="B99" t="inlineStr">
        <is>
          <t>CUST-0127</t>
        </is>
      </c>
      <c r="C99" s="3" t="n">
        <v>46150</v>
      </c>
      <c r="D99" s="3" t="n">
        <v>46151</v>
      </c>
      <c r="E99" s="3" t="n">
        <v>46151</v>
      </c>
      <c r="F99" t="inlineStr">
        <is>
          <t>Kolkata</t>
        </is>
      </c>
      <c r="G99" t="inlineStr">
        <is>
          <t>Jaipur</t>
        </is>
      </c>
      <c r="H99" t="inlineStr">
        <is>
          <t>FedEx</t>
        </is>
      </c>
      <c r="I99" t="inlineStr">
        <is>
          <t>Bike</t>
        </is>
      </c>
      <c r="J99" t="inlineStr">
        <is>
          <t>Low</t>
        </is>
      </c>
      <c r="K99" t="inlineStr">
        <is>
          <t>Delivered</t>
        </is>
      </c>
      <c r="L99" t="n">
        <v>1143.35</v>
      </c>
      <c r="M99" t="n">
        <v>991</v>
      </c>
      <c r="N99" t="n">
        <v>20.26</v>
      </c>
      <c r="O99" t="n">
        <v>1174.73</v>
      </c>
      <c r="P99" t="n">
        <v>94.8</v>
      </c>
      <c r="Q99">
        <f>ROUND(L99*M99*N99/1000+O99+P99,2)</f>
        <v/>
      </c>
      <c r="R99" t="inlineStr">
        <is>
          <t>Yes</t>
        </is>
      </c>
      <c r="S99">
        <f>IF(OR(E99="",D99=""),"",MAX(0,E99-D99))</f>
        <v/>
      </c>
      <c r="T99" t="inlineStr">
        <is>
          <t>Yes</t>
        </is>
      </c>
      <c r="U99" t="n">
        <v>56</v>
      </c>
      <c r="V99" t="inlineStr">
        <is>
          <t>Pending</t>
        </is>
      </c>
      <c r="W99" t="n">
        <v>3</v>
      </c>
      <c r="X99" t="inlineStr">
        <is>
          <t>Damaged Package</t>
        </is>
      </c>
    </row>
    <row r="100">
      <c r="A100" t="inlineStr">
        <is>
          <t>ORD-2026-00099</t>
        </is>
      </c>
      <c r="B100" t="inlineStr">
        <is>
          <t>CUST-0116</t>
        </is>
      </c>
      <c r="C100" s="3" t="n">
        <v>46116</v>
      </c>
      <c r="D100" s="3" t="n">
        <v>46123</v>
      </c>
      <c r="E100" s="3" t="n">
        <v>46123</v>
      </c>
      <c r="F100" t="inlineStr">
        <is>
          <t>Surat</t>
        </is>
      </c>
      <c r="G100" t="inlineStr">
        <is>
          <t>Pune</t>
        </is>
      </c>
      <c r="H100" t="inlineStr">
        <is>
          <t>Aramex</t>
        </is>
      </c>
      <c r="I100" t="inlineStr">
        <is>
          <t>Bike</t>
        </is>
      </c>
      <c r="J100" t="inlineStr">
        <is>
          <t>Low</t>
        </is>
      </c>
      <c r="K100" t="inlineStr">
        <is>
          <t>Delivered</t>
        </is>
      </c>
      <c r="L100" t="n">
        <v>1425.92</v>
      </c>
      <c r="M100" t="n">
        <v>802</v>
      </c>
      <c r="N100" t="n">
        <v>28.66</v>
      </c>
      <c r="O100" t="n">
        <v>1550.8</v>
      </c>
      <c r="P100" t="n">
        <v>591.8</v>
      </c>
      <c r="Q100">
        <f>ROUND(L100*M100*N100/1000+O100+P100,2)</f>
        <v/>
      </c>
      <c r="R100" t="inlineStr">
        <is>
          <t>Yes</t>
        </is>
      </c>
      <c r="S100">
        <f>IF(OR(E100="",D100=""),"",MAX(0,E100-D100))</f>
        <v/>
      </c>
      <c r="T100" t="inlineStr">
        <is>
          <t>Yes</t>
        </is>
      </c>
      <c r="U100" t="n">
        <v>13</v>
      </c>
      <c r="V100" t="inlineStr">
        <is>
          <t>Failed</t>
        </is>
      </c>
      <c r="W100" t="n">
        <v>3</v>
      </c>
      <c r="X100" t="inlineStr">
        <is>
          <t>Customer Unavailable</t>
        </is>
      </c>
    </row>
    <row r="101">
      <c r="A101" t="inlineStr">
        <is>
          <t>ORD-2026-00100</t>
        </is>
      </c>
      <c r="B101" t="inlineStr">
        <is>
          <t>CUST-0206</t>
        </is>
      </c>
      <c r="C101" s="3" t="n">
        <v>46109</v>
      </c>
      <c r="D101" s="3" t="n">
        <v>46115</v>
      </c>
      <c r="E101" s="3" t="n">
        <v>46117</v>
      </c>
      <c r="F101" t="inlineStr">
        <is>
          <t>Jaipur</t>
        </is>
      </c>
      <c r="G101" t="inlineStr">
        <is>
          <t>Surat</t>
        </is>
      </c>
      <c r="H101" t="inlineStr">
        <is>
          <t>Delhivery</t>
        </is>
      </c>
      <c r="I101" t="inlineStr">
        <is>
          <t>Truck</t>
        </is>
      </c>
      <c r="J101" t="inlineStr">
        <is>
          <t>Normal</t>
        </is>
      </c>
      <c r="K101" t="inlineStr">
        <is>
          <t>Delivered</t>
        </is>
      </c>
      <c r="L101" t="n">
        <v>1273.05</v>
      </c>
      <c r="M101" t="n">
        <v>2053</v>
      </c>
      <c r="N101" t="n">
        <v>10.29</v>
      </c>
      <c r="O101" t="n">
        <v>869.6</v>
      </c>
      <c r="P101" t="n">
        <v>1076.12</v>
      </c>
      <c r="Q101">
        <f>ROUND(L101*M101*N101/1000+O101+P101,2)</f>
        <v/>
      </c>
      <c r="R101" t="inlineStr">
        <is>
          <t>No</t>
        </is>
      </c>
      <c r="S101">
        <f>IF(OR(E101="",D101=""),"",MAX(0,E101-D101))</f>
        <v/>
      </c>
      <c r="T101" t="inlineStr">
        <is>
          <t>No</t>
        </is>
      </c>
      <c r="U101" t="n">
        <v>79</v>
      </c>
      <c r="V101" t="inlineStr">
        <is>
          <t>COD</t>
        </is>
      </c>
      <c r="W101" t="n">
        <v>2</v>
      </c>
      <c r="X101" t="inlineStr">
        <is>
          <t>Weather</t>
        </is>
      </c>
    </row>
    <row r="102">
      <c r="A102" t="inlineStr">
        <is>
          <t>ORD-2026-00101</t>
        </is>
      </c>
      <c r="B102" t="inlineStr">
        <is>
          <t>CUST-0095</t>
        </is>
      </c>
      <c r="C102" s="3" t="n">
        <v>46180</v>
      </c>
      <c r="D102" s="3" t="n">
        <v>46185</v>
      </c>
      <c r="E102" s="3" t="n">
        <v>46186</v>
      </c>
      <c r="F102" t="inlineStr">
        <is>
          <t>Hyderabad</t>
        </is>
      </c>
      <c r="G102" t="inlineStr">
        <is>
          <t>Mumbai</t>
        </is>
      </c>
      <c r="H102" t="inlineStr">
        <is>
          <t>Delhivery</t>
        </is>
      </c>
      <c r="I102" t="inlineStr">
        <is>
          <t>Bike</t>
        </is>
      </c>
      <c r="J102" t="inlineStr">
        <is>
          <t>High</t>
        </is>
      </c>
      <c r="K102" t="inlineStr">
        <is>
          <t>Delivered</t>
        </is>
      </c>
      <c r="L102" t="n">
        <v>1274.53</v>
      </c>
      <c r="M102" t="n">
        <v>2011</v>
      </c>
      <c r="N102" t="n">
        <v>48.4</v>
      </c>
      <c r="O102" t="n">
        <v>5952.99</v>
      </c>
      <c r="P102" t="n">
        <v>1227.31</v>
      </c>
      <c r="Q102">
        <f>ROUND(L102*M102*N102/1000+O102+P102,2)</f>
        <v/>
      </c>
      <c r="R102" t="inlineStr">
        <is>
          <t>No</t>
        </is>
      </c>
      <c r="S102">
        <f>IF(OR(E102="",D102=""),"",MAX(0,E102-D102))</f>
        <v/>
      </c>
      <c r="T102" t="inlineStr">
        <is>
          <t>Yes</t>
        </is>
      </c>
      <c r="U102" t="n">
        <v>77</v>
      </c>
      <c r="V102" t="inlineStr">
        <is>
          <t>Failed</t>
        </is>
      </c>
      <c r="W102" t="n">
        <v>3</v>
      </c>
      <c r="X102" t="inlineStr">
        <is>
          <t>Damaged Package</t>
        </is>
      </c>
    </row>
    <row r="103">
      <c r="A103" t="inlineStr">
        <is>
          <t>ORD-2026-00102</t>
        </is>
      </c>
      <c r="B103" t="inlineStr">
        <is>
          <t>CUST-0211</t>
        </is>
      </c>
      <c r="C103" s="3" t="n">
        <v>46223</v>
      </c>
      <c r="D103" s="3" t="n">
        <v>46227</v>
      </c>
      <c r="E103" s="3" t="n">
        <v>46228</v>
      </c>
      <c r="F103" t="inlineStr">
        <is>
          <t>Bengaluru</t>
        </is>
      </c>
      <c r="G103" t="inlineStr">
        <is>
          <t>Ahmedabad</t>
        </is>
      </c>
      <c r="H103" t="inlineStr">
        <is>
          <t>DTDC</t>
        </is>
      </c>
      <c r="I103" t="inlineStr">
        <is>
          <t>Van</t>
        </is>
      </c>
      <c r="J103" t="inlineStr">
        <is>
          <t>Normal</t>
        </is>
      </c>
      <c r="K103" t="inlineStr">
        <is>
          <t>Delivered</t>
        </is>
      </c>
      <c r="L103" t="n">
        <v>426.69</v>
      </c>
      <c r="M103" t="n">
        <v>2581</v>
      </c>
      <c r="N103" t="n">
        <v>49.11</v>
      </c>
      <c r="O103" t="n">
        <v>4136.16</v>
      </c>
      <c r="P103" t="n">
        <v>582.6799999999999</v>
      </c>
      <c r="Q103">
        <f>ROUND(L103*M103*N103/1000+O103+P103,2)</f>
        <v/>
      </c>
      <c r="R103" t="inlineStr">
        <is>
          <t>No</t>
        </is>
      </c>
      <c r="S103">
        <f>IF(OR(E103="",D103=""),"",MAX(0,E103-D103))</f>
        <v/>
      </c>
      <c r="T103" t="inlineStr">
        <is>
          <t>Yes</t>
        </is>
      </c>
      <c r="U103" t="n">
        <v>57</v>
      </c>
      <c r="V103" t="inlineStr">
        <is>
          <t>COD</t>
        </is>
      </c>
      <c r="W103" t="n">
        <v>4</v>
      </c>
      <c r="X103" t="inlineStr">
        <is>
          <t>Address Error</t>
        </is>
      </c>
    </row>
    <row r="104">
      <c r="A104" t="inlineStr">
        <is>
          <t>ORD-2026-00103</t>
        </is>
      </c>
      <c r="B104" t="inlineStr">
        <is>
          <t>CUST-0170</t>
        </is>
      </c>
      <c r="C104" s="3" t="n">
        <v>46128</v>
      </c>
      <c r="D104" s="3" t="n">
        <v>46132</v>
      </c>
      <c r="E104" s="3" t="n">
        <v>46132</v>
      </c>
      <c r="F104" t="inlineStr">
        <is>
          <t>Jaipur</t>
        </is>
      </c>
      <c r="G104" t="inlineStr">
        <is>
          <t>Surat</t>
        </is>
      </c>
      <c r="H104" t="inlineStr">
        <is>
          <t>Delhivery</t>
        </is>
      </c>
      <c r="I104" t="inlineStr">
        <is>
          <t>Refrigerated Truck</t>
        </is>
      </c>
      <c r="J104" t="inlineStr">
        <is>
          <t>Normal</t>
        </is>
      </c>
      <c r="K104" t="inlineStr">
        <is>
          <t>Delivered</t>
        </is>
      </c>
      <c r="L104" t="n">
        <v>2301.34</v>
      </c>
      <c r="M104" t="n">
        <v>260</v>
      </c>
      <c r="N104" t="n">
        <v>48.23</v>
      </c>
      <c r="O104" t="n">
        <v>1763.85</v>
      </c>
      <c r="P104" t="n">
        <v>850.11</v>
      </c>
      <c r="Q104">
        <f>ROUND(L104*M104*N104/1000+O104+P104,2)</f>
        <v/>
      </c>
      <c r="R104" t="inlineStr">
        <is>
          <t>Yes</t>
        </is>
      </c>
      <c r="S104">
        <f>IF(OR(E104="",D104=""),"",MAX(0,E104-D104))</f>
        <v/>
      </c>
      <c r="T104" t="inlineStr">
        <is>
          <t>No</t>
        </is>
      </c>
      <c r="U104" t="n">
        <v>69</v>
      </c>
      <c r="V104" t="inlineStr">
        <is>
          <t>COD</t>
        </is>
      </c>
      <c r="W104" t="n">
        <v>5</v>
      </c>
      <c r="X104" t="inlineStr">
        <is>
          <t>Vehicle Breakdown</t>
        </is>
      </c>
    </row>
    <row r="105">
      <c r="A105" t="inlineStr">
        <is>
          <t>ORD-2026-00104</t>
        </is>
      </c>
      <c r="B105" t="inlineStr">
        <is>
          <t>CUST-0198</t>
        </is>
      </c>
      <c r="C105" s="3" t="n">
        <v>46196</v>
      </c>
      <c r="D105" s="3" t="n">
        <v>46201</v>
      </c>
      <c r="E105" s="3" t="n">
        <v>46202</v>
      </c>
      <c r="F105" t="inlineStr">
        <is>
          <t>Pune</t>
        </is>
      </c>
      <c r="G105" t="inlineStr">
        <is>
          <t>Bengaluru</t>
        </is>
      </c>
      <c r="H105" t="inlineStr">
        <is>
          <t>Maersk</t>
        </is>
      </c>
      <c r="I105" t="inlineStr">
        <is>
          <t>Container</t>
        </is>
      </c>
      <c r="J105" t="inlineStr">
        <is>
          <t>High</t>
        </is>
      </c>
      <c r="K105" t="inlineStr">
        <is>
          <t>Delivered</t>
        </is>
      </c>
      <c r="L105" t="n">
        <v>616.67</v>
      </c>
      <c r="M105" t="n">
        <v>2290</v>
      </c>
      <c r="N105" t="n">
        <v>25.01</v>
      </c>
      <c r="O105" t="n">
        <v>3054.66</v>
      </c>
      <c r="P105" t="n">
        <v>1473.75</v>
      </c>
      <c r="Q105">
        <f>ROUND(L105*M105*N105/1000+O105+P105,2)</f>
        <v/>
      </c>
      <c r="R105" t="inlineStr">
        <is>
          <t>No</t>
        </is>
      </c>
      <c r="S105">
        <f>IF(OR(E105="",D105=""),"",MAX(0,E105-D105))</f>
        <v/>
      </c>
      <c r="T105" t="inlineStr">
        <is>
          <t>No</t>
        </is>
      </c>
      <c r="U105" t="n">
        <v>45</v>
      </c>
      <c r="V105" t="inlineStr">
        <is>
          <t>COD</t>
        </is>
      </c>
      <c r="W105" t="n">
        <v>3</v>
      </c>
      <c r="X105" t="inlineStr">
        <is>
          <t>None</t>
        </is>
      </c>
    </row>
    <row r="106">
      <c r="A106" t="inlineStr">
        <is>
          <t>ORD-2026-00105</t>
        </is>
      </c>
      <c r="B106" t="inlineStr">
        <is>
          <t>CUST-0089</t>
        </is>
      </c>
      <c r="C106" s="3" t="n">
        <v>46169</v>
      </c>
      <c r="D106" s="3" t="n">
        <v>46176</v>
      </c>
      <c r="E106" s="3" t="n">
        <v>46179</v>
      </c>
      <c r="F106" t="inlineStr">
        <is>
          <t>Jaipur</t>
        </is>
      </c>
      <c r="G106" t="inlineStr">
        <is>
          <t>Pune</t>
        </is>
      </c>
      <c r="H106" t="inlineStr">
        <is>
          <t>Maersk</t>
        </is>
      </c>
      <c r="I106" t="inlineStr">
        <is>
          <t>Container</t>
        </is>
      </c>
      <c r="J106" t="inlineStr">
        <is>
          <t>Normal</t>
        </is>
      </c>
      <c r="K106" t="inlineStr">
        <is>
          <t>Delivered</t>
        </is>
      </c>
      <c r="L106" t="n">
        <v>863.16</v>
      </c>
      <c r="M106" t="n">
        <v>604</v>
      </c>
      <c r="N106" t="n">
        <v>24.56</v>
      </c>
      <c r="O106" t="n">
        <v>605.1</v>
      </c>
      <c r="P106" t="n">
        <v>1076.93</v>
      </c>
      <c r="Q106">
        <f>ROUND(L106*M106*N106/1000+O106+P106,2)</f>
        <v/>
      </c>
      <c r="R106" t="inlineStr">
        <is>
          <t>No</t>
        </is>
      </c>
      <c r="S106">
        <f>IF(OR(E106="",D106=""),"",MAX(0,E106-D106))</f>
        <v/>
      </c>
      <c r="T106" t="inlineStr">
        <is>
          <t>Yes</t>
        </is>
      </c>
      <c r="U106" t="n">
        <v>69</v>
      </c>
      <c r="V106" t="inlineStr">
        <is>
          <t>COD</t>
        </is>
      </c>
      <c r="W106" t="n">
        <v>5</v>
      </c>
      <c r="X106" t="inlineStr">
        <is>
          <t>Damaged Package</t>
        </is>
      </c>
    </row>
    <row r="107">
      <c r="A107" t="inlineStr">
        <is>
          <t>ORD-2026-00106</t>
        </is>
      </c>
      <c r="B107" t="inlineStr">
        <is>
          <t>CUST-0014</t>
        </is>
      </c>
      <c r="C107" s="3" t="n">
        <v>46092</v>
      </c>
      <c r="D107" s="3" t="n">
        <v>46095</v>
      </c>
      <c r="E107" s="3" t="n">
        <v>46095</v>
      </c>
      <c r="F107" t="inlineStr">
        <is>
          <t>Mumbai</t>
        </is>
      </c>
      <c r="G107" t="inlineStr">
        <is>
          <t>Chennai</t>
        </is>
      </c>
      <c r="H107" t="inlineStr">
        <is>
          <t>FedEx</t>
        </is>
      </c>
      <c r="I107" t="inlineStr">
        <is>
          <t>Container</t>
        </is>
      </c>
      <c r="J107" t="inlineStr">
        <is>
          <t>Low</t>
        </is>
      </c>
      <c r="K107" t="inlineStr">
        <is>
          <t>Delivered</t>
        </is>
      </c>
      <c r="L107" t="n">
        <v>598.59</v>
      </c>
      <c r="M107" t="n">
        <v>212</v>
      </c>
      <c r="N107" t="n">
        <v>46.18</v>
      </c>
      <c r="O107" t="n">
        <v>362.53</v>
      </c>
      <c r="P107" t="n">
        <v>964.16</v>
      </c>
      <c r="Q107">
        <f>ROUND(L107*M107*N107/1000+O107+P107,2)</f>
        <v/>
      </c>
      <c r="R107" t="inlineStr">
        <is>
          <t>Yes</t>
        </is>
      </c>
      <c r="S107">
        <f>IF(OR(E107="",D107=""),"",MAX(0,E107-D107))</f>
        <v/>
      </c>
      <c r="T107" t="inlineStr">
        <is>
          <t>Yes</t>
        </is>
      </c>
      <c r="U107" t="n">
        <v>1</v>
      </c>
      <c r="V107" t="inlineStr">
        <is>
          <t>Pending</t>
        </is>
      </c>
      <c r="W107" t="n">
        <v>4</v>
      </c>
      <c r="X107" t="inlineStr">
        <is>
          <t>Damaged Package</t>
        </is>
      </c>
    </row>
    <row r="108">
      <c r="A108" t="inlineStr">
        <is>
          <t>ORD-2026-00107</t>
        </is>
      </c>
      <c r="B108" t="inlineStr">
        <is>
          <t>CUST-0147</t>
        </is>
      </c>
      <c r="C108" s="3" t="n">
        <v>46144</v>
      </c>
      <c r="D108" s="3" t="n">
        <v>46152</v>
      </c>
      <c r="E108" s="3" t="n">
        <v>46153</v>
      </c>
      <c r="F108" t="inlineStr">
        <is>
          <t>Bengaluru</t>
        </is>
      </c>
      <c r="G108" t="inlineStr">
        <is>
          <t>Surat</t>
        </is>
      </c>
      <c r="H108" t="inlineStr">
        <is>
          <t>Maersk</t>
        </is>
      </c>
      <c r="I108" t="inlineStr">
        <is>
          <t>Van</t>
        </is>
      </c>
      <c r="J108" t="inlineStr">
        <is>
          <t>Normal</t>
        </is>
      </c>
      <c r="K108" t="inlineStr">
        <is>
          <t>Delivered</t>
        </is>
      </c>
      <c r="L108" t="n">
        <v>718.47</v>
      </c>
      <c r="M108" t="n">
        <v>1174</v>
      </c>
      <c r="N108" t="n">
        <v>44.82</v>
      </c>
      <c r="O108" t="n">
        <v>3193.62</v>
      </c>
      <c r="P108" t="n">
        <v>152.4</v>
      </c>
      <c r="Q108">
        <f>ROUND(L108*M108*N108/1000+O108+P108,2)</f>
        <v/>
      </c>
      <c r="R108" t="inlineStr">
        <is>
          <t>No</t>
        </is>
      </c>
      <c r="S108">
        <f>IF(OR(E108="",D108=""),"",MAX(0,E108-D108))</f>
        <v/>
      </c>
      <c r="T108" t="inlineStr">
        <is>
          <t>No</t>
        </is>
      </c>
      <c r="U108" t="n">
        <v>23</v>
      </c>
      <c r="V108" t="inlineStr">
        <is>
          <t>Paid</t>
        </is>
      </c>
      <c r="W108" t="n">
        <v>4</v>
      </c>
      <c r="X108" t="inlineStr">
        <is>
          <t>Customer Unavailable</t>
        </is>
      </c>
    </row>
    <row r="109">
      <c r="A109" t="inlineStr">
        <is>
          <t>ORD-2026-00108</t>
        </is>
      </c>
      <c r="B109" t="inlineStr">
        <is>
          <t>CUST-0086</t>
        </is>
      </c>
      <c r="C109" s="3" t="n">
        <v>46149</v>
      </c>
      <c r="D109" s="3" t="n">
        <v>46152</v>
      </c>
      <c r="E109" s="3" t="n">
        <v>46157</v>
      </c>
      <c r="F109" t="inlineStr">
        <is>
          <t>Pune</t>
        </is>
      </c>
      <c r="G109" t="inlineStr">
        <is>
          <t>Jaipur</t>
        </is>
      </c>
      <c r="H109" t="inlineStr">
        <is>
          <t>Maersk</t>
        </is>
      </c>
      <c r="I109" t="inlineStr">
        <is>
          <t>Bike</t>
        </is>
      </c>
      <c r="J109" t="inlineStr">
        <is>
          <t>Critical</t>
        </is>
      </c>
      <c r="K109" t="inlineStr">
        <is>
          <t>Delivered</t>
        </is>
      </c>
      <c r="L109" t="n">
        <v>2315.14</v>
      </c>
      <c r="M109" t="n">
        <v>158</v>
      </c>
      <c r="N109" t="n">
        <v>8.529999999999999</v>
      </c>
      <c r="O109" t="n">
        <v>199.94</v>
      </c>
      <c r="P109" t="n">
        <v>178.81</v>
      </c>
      <c r="Q109">
        <f>ROUND(L109*M109*N109/1000+O109+P109,2)</f>
        <v/>
      </c>
      <c r="R109" t="inlineStr">
        <is>
          <t>No</t>
        </is>
      </c>
      <c r="S109">
        <f>IF(OR(E109="",D109=""),"",MAX(0,E109-D109))</f>
        <v/>
      </c>
      <c r="T109" t="inlineStr">
        <is>
          <t>Yes</t>
        </is>
      </c>
      <c r="U109" t="n">
        <v>65</v>
      </c>
      <c r="V109" t="inlineStr">
        <is>
          <t>Failed</t>
        </is>
      </c>
      <c r="W109" t="n">
        <v>3</v>
      </c>
      <c r="X109" t="inlineStr">
        <is>
          <t>Address Error</t>
        </is>
      </c>
    </row>
    <row r="110">
      <c r="A110" t="inlineStr">
        <is>
          <t>ORD-2026-00109</t>
        </is>
      </c>
      <c r="B110" t="inlineStr">
        <is>
          <t>CUST-0173</t>
        </is>
      </c>
      <c r="C110" s="3" t="n">
        <v>46230</v>
      </c>
      <c r="D110" s="3" t="n">
        <v>46232</v>
      </c>
      <c r="E110" s="3" t="n">
        <v>46232</v>
      </c>
      <c r="F110" t="inlineStr">
        <is>
          <t>Bengaluru</t>
        </is>
      </c>
      <c r="G110" t="inlineStr">
        <is>
          <t>Delhi</t>
        </is>
      </c>
      <c r="H110" t="inlineStr">
        <is>
          <t>DTDC</t>
        </is>
      </c>
      <c r="I110" t="inlineStr">
        <is>
          <t>Container</t>
        </is>
      </c>
      <c r="J110" t="inlineStr">
        <is>
          <t>Critical</t>
        </is>
      </c>
      <c r="K110" t="inlineStr">
        <is>
          <t>Delivered</t>
        </is>
      </c>
      <c r="L110" t="n">
        <v>1620.89</v>
      </c>
      <c r="M110" t="n">
        <v>767</v>
      </c>
      <c r="N110" t="n">
        <v>8.800000000000001</v>
      </c>
      <c r="O110" t="n">
        <v>549.5</v>
      </c>
      <c r="P110" t="n">
        <v>456.64</v>
      </c>
      <c r="Q110">
        <f>ROUND(L110*M110*N110/1000+O110+P110,2)</f>
        <v/>
      </c>
      <c r="R110" t="inlineStr">
        <is>
          <t>Yes</t>
        </is>
      </c>
      <c r="S110">
        <f>IF(OR(E110="",D110=""),"",MAX(0,E110-D110))</f>
        <v/>
      </c>
      <c r="T110" t="inlineStr">
        <is>
          <t>No</t>
        </is>
      </c>
      <c r="U110" t="n">
        <v>12</v>
      </c>
      <c r="V110" t="inlineStr">
        <is>
          <t>Failed</t>
        </is>
      </c>
      <c r="W110" t="n">
        <v>1</v>
      </c>
      <c r="X110" t="inlineStr">
        <is>
          <t>Address Error</t>
        </is>
      </c>
    </row>
    <row r="111">
      <c r="A111" t="inlineStr">
        <is>
          <t>ORD-2026-00110</t>
        </is>
      </c>
      <c r="B111" t="inlineStr">
        <is>
          <t>CUST-0150</t>
        </is>
      </c>
      <c r="C111" s="3" t="n">
        <v>46058</v>
      </c>
      <c r="D111" s="3" t="n">
        <v>46066</v>
      </c>
      <c r="E111" s="3" t="n">
        <v>46066</v>
      </c>
      <c r="F111" t="inlineStr">
        <is>
          <t>Kolkata</t>
        </is>
      </c>
      <c r="G111" t="inlineStr">
        <is>
          <t>Ahmedabad</t>
        </is>
      </c>
      <c r="H111" t="inlineStr">
        <is>
          <t>FedEx</t>
        </is>
      </c>
      <c r="I111" t="inlineStr">
        <is>
          <t>Refrigerated Truck</t>
        </is>
      </c>
      <c r="J111" t="inlineStr">
        <is>
          <t>Normal</t>
        </is>
      </c>
      <c r="K111" t="inlineStr">
        <is>
          <t>Delivered</t>
        </is>
      </c>
      <c r="L111" t="n">
        <v>652.33</v>
      </c>
      <c r="M111" t="n">
        <v>969</v>
      </c>
      <c r="N111" t="n">
        <v>33.46</v>
      </c>
      <c r="O111" t="n">
        <v>973.33</v>
      </c>
      <c r="P111" t="n">
        <v>507.85</v>
      </c>
      <c r="Q111">
        <f>ROUND(L111*M111*N111/1000+O111+P111,2)</f>
        <v/>
      </c>
      <c r="R111" t="inlineStr">
        <is>
          <t>Yes</t>
        </is>
      </c>
      <c r="S111">
        <f>IF(OR(E111="",D111=""),"",MAX(0,E111-D111))</f>
        <v/>
      </c>
      <c r="T111" t="inlineStr">
        <is>
          <t>Yes</t>
        </is>
      </c>
      <c r="U111" t="n">
        <v>16</v>
      </c>
      <c r="V111" t="inlineStr">
        <is>
          <t>Failed</t>
        </is>
      </c>
      <c r="W111" t="n">
        <v>3</v>
      </c>
      <c r="X111" t="inlineStr">
        <is>
          <t>Address Error</t>
        </is>
      </c>
    </row>
    <row r="112">
      <c r="A112" t="inlineStr">
        <is>
          <t>ORD-2026-00111</t>
        </is>
      </c>
      <c r="B112" t="inlineStr">
        <is>
          <t>CUST-0040</t>
        </is>
      </c>
      <c r="C112" s="3" t="n">
        <v>46126</v>
      </c>
      <c r="D112" s="3" t="n">
        <v>46131</v>
      </c>
      <c r="E112" s="3" t="n">
        <v>46132</v>
      </c>
      <c r="F112" t="inlineStr">
        <is>
          <t>Jaipur</t>
        </is>
      </c>
      <c r="G112" t="inlineStr">
        <is>
          <t>Kolkata</t>
        </is>
      </c>
      <c r="H112" t="inlineStr">
        <is>
          <t>FedEx</t>
        </is>
      </c>
      <c r="I112" t="inlineStr">
        <is>
          <t>Container</t>
        </is>
      </c>
      <c r="J112" t="inlineStr">
        <is>
          <t>Critical</t>
        </is>
      </c>
      <c r="K112" t="inlineStr">
        <is>
          <t>Delivered</t>
        </is>
      </c>
      <c r="L112" t="n">
        <v>2351.62</v>
      </c>
      <c r="M112" t="n">
        <v>1510</v>
      </c>
      <c r="N112" t="n">
        <v>43.03</v>
      </c>
      <c r="O112" t="n">
        <v>6592.85</v>
      </c>
      <c r="P112" t="n">
        <v>217.68</v>
      </c>
      <c r="Q112">
        <f>ROUND(L112*M112*N112/1000+O112+P112,2)</f>
        <v/>
      </c>
      <c r="R112" t="inlineStr">
        <is>
          <t>No</t>
        </is>
      </c>
      <c r="S112">
        <f>IF(OR(E112="",D112=""),"",MAX(0,E112-D112))</f>
        <v/>
      </c>
      <c r="T112" t="inlineStr">
        <is>
          <t>Yes</t>
        </is>
      </c>
      <c r="U112" t="n">
        <v>32</v>
      </c>
      <c r="V112" t="inlineStr">
        <is>
          <t>Paid</t>
        </is>
      </c>
      <c r="W112" t="n">
        <v>5</v>
      </c>
      <c r="X112" t="inlineStr">
        <is>
          <t>Weather</t>
        </is>
      </c>
    </row>
    <row r="113">
      <c r="A113" t="inlineStr">
        <is>
          <t>ORD-2026-00112</t>
        </is>
      </c>
      <c r="B113" t="inlineStr">
        <is>
          <t>CUST-0043</t>
        </is>
      </c>
      <c r="C113" s="3" t="n">
        <v>46158</v>
      </c>
      <c r="D113" s="3" t="n">
        <v>46164</v>
      </c>
      <c r="E113" s="3" t="n">
        <v>46164</v>
      </c>
      <c r="F113" t="inlineStr">
        <is>
          <t>Hyderabad</t>
        </is>
      </c>
      <c r="G113" t="inlineStr">
        <is>
          <t>Surat</t>
        </is>
      </c>
      <c r="H113" t="inlineStr">
        <is>
          <t>Delhivery</t>
        </is>
      </c>
      <c r="I113" t="inlineStr">
        <is>
          <t>Van</t>
        </is>
      </c>
      <c r="J113" t="inlineStr">
        <is>
          <t>Normal</t>
        </is>
      </c>
      <c r="K113" t="inlineStr">
        <is>
          <t>Delivered</t>
        </is>
      </c>
      <c r="L113" t="n">
        <v>154.86</v>
      </c>
      <c r="M113" t="n">
        <v>2248</v>
      </c>
      <c r="N113" t="n">
        <v>59.46</v>
      </c>
      <c r="O113" t="n">
        <v>872.0599999999999</v>
      </c>
      <c r="P113" t="n">
        <v>814.26</v>
      </c>
      <c r="Q113">
        <f>ROUND(L113*M113*N113/1000+O113+P113,2)</f>
        <v/>
      </c>
      <c r="R113" t="inlineStr">
        <is>
          <t>Yes</t>
        </is>
      </c>
      <c r="S113">
        <f>IF(OR(E113="",D113=""),"",MAX(0,E113-D113))</f>
        <v/>
      </c>
      <c r="T113" t="inlineStr">
        <is>
          <t>No</t>
        </is>
      </c>
      <c r="U113" t="n">
        <v>12</v>
      </c>
      <c r="V113" t="inlineStr">
        <is>
          <t>Failed</t>
        </is>
      </c>
      <c r="W113" t="n">
        <v>1</v>
      </c>
      <c r="X113" t="inlineStr">
        <is>
          <t>Weather</t>
        </is>
      </c>
    </row>
    <row r="114">
      <c r="A114" t="inlineStr">
        <is>
          <t>ORD-2026-00113</t>
        </is>
      </c>
      <c r="B114" t="inlineStr">
        <is>
          <t>CUST-0191</t>
        </is>
      </c>
      <c r="C114" s="3" t="n">
        <v>46056</v>
      </c>
      <c r="D114" s="3" t="n">
        <v>46063</v>
      </c>
      <c r="E114" s="3" t="n"/>
      <c r="F114" t="inlineStr">
        <is>
          <t>Bengaluru</t>
        </is>
      </c>
      <c r="G114" t="inlineStr">
        <is>
          <t>Kolkata</t>
        </is>
      </c>
      <c r="H114" t="inlineStr">
        <is>
          <t>BlueDart</t>
        </is>
      </c>
      <c r="I114" t="inlineStr">
        <is>
          <t>Van</t>
        </is>
      </c>
      <c r="J114" t="inlineStr">
        <is>
          <t>Critical</t>
        </is>
      </c>
      <c r="K114" t="inlineStr">
        <is>
          <t>Exception</t>
        </is>
      </c>
      <c r="L114" t="n">
        <v>1682.08</v>
      </c>
      <c r="M114" t="n">
        <v>1267</v>
      </c>
      <c r="N114" t="n">
        <v>49.23</v>
      </c>
      <c r="O114" t="n">
        <v>5640.11</v>
      </c>
      <c r="P114" t="n">
        <v>1228.35</v>
      </c>
      <c r="Q114">
        <f>ROUND(L114*M114*N114/1000+O114+P114,2)</f>
        <v/>
      </c>
      <c r="R114" t="inlineStr">
        <is>
          <t>No</t>
        </is>
      </c>
      <c r="S114">
        <f>IF(OR(E114="",D114=""),"",MAX(0,E114-D114))</f>
        <v/>
      </c>
      <c r="T114" t="inlineStr">
        <is>
          <t>No</t>
        </is>
      </c>
      <c r="U114" t="n">
        <v>9</v>
      </c>
      <c r="V114" t="inlineStr">
        <is>
          <t>Paid</t>
        </is>
      </c>
      <c r="W114" t="n">
        <v>1</v>
      </c>
      <c r="X114" t="inlineStr">
        <is>
          <t>Weather</t>
        </is>
      </c>
    </row>
    <row r="115">
      <c r="A115" t="inlineStr">
        <is>
          <t>ORD-2026-00114</t>
        </is>
      </c>
      <c r="B115" t="inlineStr">
        <is>
          <t>CUST-0115</t>
        </is>
      </c>
      <c r="C115" s="3" t="n">
        <v>46031</v>
      </c>
      <c r="D115" s="3" t="n">
        <v>46036</v>
      </c>
      <c r="E115" s="3" t="n">
        <v>46036</v>
      </c>
      <c r="F115" t="inlineStr">
        <is>
          <t>Chennai</t>
        </is>
      </c>
      <c r="G115" t="inlineStr">
        <is>
          <t>Chennai</t>
        </is>
      </c>
      <c r="H115" t="inlineStr">
        <is>
          <t>BlueDart</t>
        </is>
      </c>
      <c r="I115" t="inlineStr">
        <is>
          <t>Bike</t>
        </is>
      </c>
      <c r="J115" t="inlineStr">
        <is>
          <t>Normal</t>
        </is>
      </c>
      <c r="K115" t="inlineStr">
        <is>
          <t>Delivered</t>
        </is>
      </c>
      <c r="L115" t="n">
        <v>1914.69</v>
      </c>
      <c r="M115" t="n">
        <v>2650</v>
      </c>
      <c r="N115" t="n">
        <v>62.94</v>
      </c>
      <c r="O115" t="n">
        <v>16755.71</v>
      </c>
      <c r="P115" t="n">
        <v>1339.17</v>
      </c>
      <c r="Q115">
        <f>ROUND(L115*M115*N115/1000+O115+P115,2)</f>
        <v/>
      </c>
      <c r="R115" t="inlineStr">
        <is>
          <t>Yes</t>
        </is>
      </c>
      <c r="S115">
        <f>IF(OR(E115="",D115=""),"",MAX(0,E115-D115))</f>
        <v/>
      </c>
      <c r="T115" t="inlineStr">
        <is>
          <t>No</t>
        </is>
      </c>
      <c r="U115" t="n">
        <v>16</v>
      </c>
      <c r="V115" t="inlineStr">
        <is>
          <t>Pending</t>
        </is>
      </c>
      <c r="W115" t="n">
        <v>5</v>
      </c>
      <c r="X115" t="inlineStr">
        <is>
          <t>Weather</t>
        </is>
      </c>
    </row>
    <row r="116">
      <c r="A116" t="inlineStr">
        <is>
          <t>ORD-2026-00115</t>
        </is>
      </c>
      <c r="B116" t="inlineStr">
        <is>
          <t>CUST-0109</t>
        </is>
      </c>
      <c r="C116" s="3" t="n">
        <v>46158</v>
      </c>
      <c r="D116" s="3" t="n">
        <v>46161</v>
      </c>
      <c r="E116" s="3" t="n">
        <v>46162</v>
      </c>
      <c r="F116" t="inlineStr">
        <is>
          <t>Surat</t>
        </is>
      </c>
      <c r="G116" t="inlineStr">
        <is>
          <t>Chennai</t>
        </is>
      </c>
      <c r="H116" t="inlineStr">
        <is>
          <t>Aramex</t>
        </is>
      </c>
      <c r="I116" t="inlineStr">
        <is>
          <t>Truck</t>
        </is>
      </c>
      <c r="J116" t="inlineStr">
        <is>
          <t>Normal</t>
        </is>
      </c>
      <c r="K116" t="inlineStr">
        <is>
          <t>Delivered</t>
        </is>
      </c>
      <c r="L116" t="n">
        <v>9.18</v>
      </c>
      <c r="M116" t="n">
        <v>98</v>
      </c>
      <c r="N116" t="n">
        <v>63.77</v>
      </c>
      <c r="O116" t="n">
        <v>3.31</v>
      </c>
      <c r="P116" t="n">
        <v>1084.26</v>
      </c>
      <c r="Q116">
        <f>ROUND(L116*M116*N116/1000+O116+P116,2)</f>
        <v/>
      </c>
      <c r="R116" t="inlineStr">
        <is>
          <t>No</t>
        </is>
      </c>
      <c r="S116">
        <f>IF(OR(E116="",D116=""),"",MAX(0,E116-D116))</f>
        <v/>
      </c>
      <c r="T116" t="inlineStr">
        <is>
          <t>No</t>
        </is>
      </c>
      <c r="U116" t="n">
        <v>45</v>
      </c>
      <c r="V116" t="inlineStr">
        <is>
          <t>Pending</t>
        </is>
      </c>
      <c r="W116" t="n">
        <v>3</v>
      </c>
      <c r="X116" t="inlineStr">
        <is>
          <t>Address Error</t>
        </is>
      </c>
    </row>
    <row r="117">
      <c r="A117" t="inlineStr">
        <is>
          <t>ORD-2026-00116</t>
        </is>
      </c>
      <c r="B117" t="inlineStr">
        <is>
          <t>CUST-0115</t>
        </is>
      </c>
      <c r="C117" s="3" t="n">
        <v>46208</v>
      </c>
      <c r="D117" s="3" t="n">
        <v>46210</v>
      </c>
      <c r="E117" s="3" t="n">
        <v>46210</v>
      </c>
      <c r="F117" t="inlineStr">
        <is>
          <t>Kolkata</t>
        </is>
      </c>
      <c r="G117" t="inlineStr">
        <is>
          <t>Ahmedabad</t>
        </is>
      </c>
      <c r="H117" t="inlineStr">
        <is>
          <t>DHL</t>
        </is>
      </c>
      <c r="I117" t="inlineStr">
        <is>
          <t>Van</t>
        </is>
      </c>
      <c r="J117" t="inlineStr">
        <is>
          <t>Critical</t>
        </is>
      </c>
      <c r="K117" t="inlineStr">
        <is>
          <t>Delivered</t>
        </is>
      </c>
      <c r="L117" t="n">
        <v>1537.5</v>
      </c>
      <c r="M117" t="n">
        <v>69</v>
      </c>
      <c r="N117" t="n">
        <v>21.72</v>
      </c>
      <c r="O117" t="n">
        <v>78.43000000000001</v>
      </c>
      <c r="P117" t="n">
        <v>899.04</v>
      </c>
      <c r="Q117">
        <f>ROUND(L117*M117*N117/1000+O117+P117,2)</f>
        <v/>
      </c>
      <c r="R117" t="inlineStr">
        <is>
          <t>Yes</t>
        </is>
      </c>
      <c r="S117">
        <f>IF(OR(E117="",D117=""),"",MAX(0,E117-D117))</f>
        <v/>
      </c>
      <c r="T117" t="inlineStr">
        <is>
          <t>No</t>
        </is>
      </c>
      <c r="U117" t="n">
        <v>30</v>
      </c>
      <c r="V117" t="inlineStr">
        <is>
          <t>Pending</t>
        </is>
      </c>
      <c r="W117" t="n">
        <v>1</v>
      </c>
      <c r="X117" t="inlineStr">
        <is>
          <t>Address Error</t>
        </is>
      </c>
    </row>
    <row r="118">
      <c r="A118" t="inlineStr">
        <is>
          <t>ORD-2026-00117</t>
        </is>
      </c>
      <c r="B118" t="inlineStr">
        <is>
          <t>CUST-0078</t>
        </is>
      </c>
      <c r="C118" s="3" t="n">
        <v>46151</v>
      </c>
      <c r="D118" s="3" t="n">
        <v>46156</v>
      </c>
      <c r="E118" s="3" t="n">
        <v>46156</v>
      </c>
      <c r="F118" t="inlineStr">
        <is>
          <t>Delhi</t>
        </is>
      </c>
      <c r="G118" t="inlineStr">
        <is>
          <t>Surat</t>
        </is>
      </c>
      <c r="H118" t="inlineStr">
        <is>
          <t>DHL</t>
        </is>
      </c>
      <c r="I118" t="inlineStr">
        <is>
          <t>Container</t>
        </is>
      </c>
      <c r="J118" t="inlineStr">
        <is>
          <t>High</t>
        </is>
      </c>
      <c r="K118" t="inlineStr">
        <is>
          <t>Delivered</t>
        </is>
      </c>
      <c r="L118" t="n">
        <v>1440.49</v>
      </c>
      <c r="M118" t="n">
        <v>2370</v>
      </c>
      <c r="N118" t="n">
        <v>42.08</v>
      </c>
      <c r="O118" t="n">
        <v>10106.72</v>
      </c>
      <c r="P118" t="n">
        <v>494.58</v>
      </c>
      <c r="Q118">
        <f>ROUND(L118*M118*N118/1000+O118+P118,2)</f>
        <v/>
      </c>
      <c r="R118" t="inlineStr">
        <is>
          <t>Yes</t>
        </is>
      </c>
      <c r="S118">
        <f>IF(OR(E118="",D118=""),"",MAX(0,E118-D118))</f>
        <v/>
      </c>
      <c r="T118" t="inlineStr">
        <is>
          <t>No</t>
        </is>
      </c>
      <c r="U118" t="n">
        <v>8</v>
      </c>
      <c r="V118" t="inlineStr">
        <is>
          <t>Pending</t>
        </is>
      </c>
      <c r="W118" t="n">
        <v>4</v>
      </c>
      <c r="X118" t="inlineStr">
        <is>
          <t>Customs</t>
        </is>
      </c>
    </row>
    <row r="119">
      <c r="A119" t="inlineStr">
        <is>
          <t>ORD-2026-00118</t>
        </is>
      </c>
      <c r="B119" t="inlineStr">
        <is>
          <t>CUST-0097</t>
        </is>
      </c>
      <c r="C119" s="3" t="n">
        <v>46149</v>
      </c>
      <c r="D119" s="3" t="n">
        <v>46150</v>
      </c>
      <c r="E119" s="3" t="n">
        <v>46160</v>
      </c>
      <c r="F119" t="inlineStr">
        <is>
          <t>Delhi</t>
        </is>
      </c>
      <c r="G119" t="inlineStr">
        <is>
          <t>Surat</t>
        </is>
      </c>
      <c r="H119" t="inlineStr">
        <is>
          <t>Delhivery</t>
        </is>
      </c>
      <c r="I119" t="inlineStr">
        <is>
          <t>Truck</t>
        </is>
      </c>
      <c r="J119" t="inlineStr">
        <is>
          <t>Normal</t>
        </is>
      </c>
      <c r="K119" t="inlineStr">
        <is>
          <t>Delivered</t>
        </is>
      </c>
      <c r="L119" t="n">
        <v>1678.52</v>
      </c>
      <c r="M119" t="n">
        <v>2153</v>
      </c>
      <c r="N119" t="n">
        <v>26.17</v>
      </c>
      <c r="O119" t="n">
        <v>5199.66</v>
      </c>
      <c r="P119" t="n">
        <v>240.84</v>
      </c>
      <c r="Q119">
        <f>ROUND(L119*M119*N119/1000+O119+P119,2)</f>
        <v/>
      </c>
      <c r="R119" t="inlineStr">
        <is>
          <t>No</t>
        </is>
      </c>
      <c r="S119">
        <f>IF(OR(E119="",D119=""),"",MAX(0,E119-D119))</f>
        <v/>
      </c>
      <c r="T119" t="inlineStr">
        <is>
          <t>No</t>
        </is>
      </c>
      <c r="U119" t="n">
        <v>19</v>
      </c>
      <c r="V119" t="inlineStr">
        <is>
          <t>Failed</t>
        </is>
      </c>
      <c r="W119" t="n">
        <v>1</v>
      </c>
      <c r="X119" t="inlineStr">
        <is>
          <t>Customs</t>
        </is>
      </c>
    </row>
    <row r="120">
      <c r="A120" t="inlineStr">
        <is>
          <t>ORD-2026-00119</t>
        </is>
      </c>
      <c r="B120" t="inlineStr">
        <is>
          <t>CUST-0095</t>
        </is>
      </c>
      <c r="C120" s="3" t="n">
        <v>46128</v>
      </c>
      <c r="D120" s="3" t="n">
        <v>46135</v>
      </c>
      <c r="E120" s="3" t="n">
        <v>46136</v>
      </c>
      <c r="F120" t="inlineStr">
        <is>
          <t>Mumbai</t>
        </is>
      </c>
      <c r="G120" t="inlineStr">
        <is>
          <t>Surat</t>
        </is>
      </c>
      <c r="H120" t="inlineStr">
        <is>
          <t>Maersk</t>
        </is>
      </c>
      <c r="I120" t="inlineStr">
        <is>
          <t>Truck</t>
        </is>
      </c>
      <c r="J120" t="inlineStr">
        <is>
          <t>Low</t>
        </is>
      </c>
      <c r="K120" t="inlineStr">
        <is>
          <t>Delivered</t>
        </is>
      </c>
      <c r="L120" t="n">
        <v>607.52</v>
      </c>
      <c r="M120" t="n">
        <v>837</v>
      </c>
      <c r="N120" t="n">
        <v>26.82</v>
      </c>
      <c r="O120" t="n">
        <v>473.84</v>
      </c>
      <c r="P120" t="n">
        <v>685.6799999999999</v>
      </c>
      <c r="Q120">
        <f>ROUND(L120*M120*N120/1000+O120+P120,2)</f>
        <v/>
      </c>
      <c r="R120" t="inlineStr">
        <is>
          <t>No</t>
        </is>
      </c>
      <c r="S120">
        <f>IF(OR(E120="",D120=""),"",MAX(0,E120-D120))</f>
        <v/>
      </c>
      <c r="T120" t="inlineStr">
        <is>
          <t>No</t>
        </is>
      </c>
      <c r="U120" t="n">
        <v>49</v>
      </c>
      <c r="V120" t="inlineStr">
        <is>
          <t>Paid</t>
        </is>
      </c>
      <c r="W120" t="n">
        <v>1</v>
      </c>
      <c r="X120" t="inlineStr">
        <is>
          <t>Address Error</t>
        </is>
      </c>
    </row>
    <row r="121">
      <c r="A121" t="inlineStr">
        <is>
          <t>ORD-2026-00120</t>
        </is>
      </c>
      <c r="B121" t="inlineStr">
        <is>
          <t>CUST-0192</t>
        </is>
      </c>
      <c r="C121" s="3" t="n">
        <v>46228</v>
      </c>
      <c r="D121" s="3" t="n">
        <v>46232</v>
      </c>
      <c r="E121" s="3" t="n">
        <v>46232</v>
      </c>
      <c r="F121" t="inlineStr">
        <is>
          <t>Jaipur</t>
        </is>
      </c>
      <c r="G121" t="inlineStr">
        <is>
          <t>Bengaluru</t>
        </is>
      </c>
      <c r="H121" t="inlineStr">
        <is>
          <t>Maersk</t>
        </is>
      </c>
      <c r="I121" t="inlineStr">
        <is>
          <t>Bike</t>
        </is>
      </c>
      <c r="J121" t="inlineStr">
        <is>
          <t>Normal</t>
        </is>
      </c>
      <c r="K121" t="inlineStr">
        <is>
          <t>Delivered</t>
        </is>
      </c>
      <c r="L121" t="n">
        <v>832.74</v>
      </c>
      <c r="M121" t="n">
        <v>67</v>
      </c>
      <c r="N121" t="n">
        <v>20.07</v>
      </c>
      <c r="O121" t="n">
        <v>46.36</v>
      </c>
      <c r="P121" t="n">
        <v>1117.38</v>
      </c>
      <c r="Q121">
        <f>ROUND(L121*M121*N121/1000+O121+P121,2)</f>
        <v/>
      </c>
      <c r="R121" t="inlineStr">
        <is>
          <t>Yes</t>
        </is>
      </c>
      <c r="S121">
        <f>IF(OR(E121="",D121=""),"",MAX(0,E121-D121))</f>
        <v/>
      </c>
      <c r="T121" t="inlineStr">
        <is>
          <t>No</t>
        </is>
      </c>
      <c r="U121" t="n">
        <v>31</v>
      </c>
      <c r="V121" t="inlineStr">
        <is>
          <t>COD</t>
        </is>
      </c>
      <c r="W121" t="n">
        <v>3</v>
      </c>
      <c r="X121" t="inlineStr">
        <is>
          <t>Weather</t>
        </is>
      </c>
    </row>
    <row r="122">
      <c r="A122" t="inlineStr">
        <is>
          <t>ORD-2026-00121</t>
        </is>
      </c>
      <c r="B122" t="inlineStr">
        <is>
          <t>CUST-0215</t>
        </is>
      </c>
      <c r="C122" s="3" t="n">
        <v>46142</v>
      </c>
      <c r="D122" s="3" t="n">
        <v>46148</v>
      </c>
      <c r="E122" s="3" t="n">
        <v>46148</v>
      </c>
      <c r="F122" t="inlineStr">
        <is>
          <t>Hyderabad</t>
        </is>
      </c>
      <c r="G122" t="inlineStr">
        <is>
          <t>Bengaluru</t>
        </is>
      </c>
      <c r="H122" t="inlineStr">
        <is>
          <t>FedEx</t>
        </is>
      </c>
      <c r="I122" t="inlineStr">
        <is>
          <t>Refrigerated Truck</t>
        </is>
      </c>
      <c r="J122" t="inlineStr">
        <is>
          <t>Critical</t>
        </is>
      </c>
      <c r="K122" t="inlineStr">
        <is>
          <t>Delivered</t>
        </is>
      </c>
      <c r="L122" t="n">
        <v>2207.09</v>
      </c>
      <c r="M122" t="n">
        <v>1913</v>
      </c>
      <c r="N122" t="n">
        <v>13.62</v>
      </c>
      <c r="O122" t="n">
        <v>5111.07</v>
      </c>
      <c r="P122" t="n">
        <v>714.85</v>
      </c>
      <c r="Q122">
        <f>ROUND(L122*M122*N122/1000+O122+P122,2)</f>
        <v/>
      </c>
      <c r="R122" t="inlineStr">
        <is>
          <t>Yes</t>
        </is>
      </c>
      <c r="S122">
        <f>IF(OR(E122="",D122=""),"",MAX(0,E122-D122))</f>
        <v/>
      </c>
      <c r="T122" t="inlineStr">
        <is>
          <t>Yes</t>
        </is>
      </c>
      <c r="U122" t="n">
        <v>73</v>
      </c>
      <c r="V122" t="inlineStr">
        <is>
          <t>Pending</t>
        </is>
      </c>
      <c r="W122" t="n">
        <v>2</v>
      </c>
      <c r="X122" t="inlineStr">
        <is>
          <t>None</t>
        </is>
      </c>
    </row>
    <row r="123">
      <c r="A123" t="inlineStr">
        <is>
          <t>ORD-2026-00122</t>
        </is>
      </c>
      <c r="B123" t="inlineStr">
        <is>
          <t>CUST-0176</t>
        </is>
      </c>
      <c r="C123" s="3" t="n">
        <v>46089</v>
      </c>
      <c r="D123" s="3" t="n">
        <v>46096</v>
      </c>
      <c r="E123" s="3" t="n">
        <v>46096</v>
      </c>
      <c r="F123" t="inlineStr">
        <is>
          <t>Hyderabad</t>
        </is>
      </c>
      <c r="G123" t="inlineStr">
        <is>
          <t>Pune</t>
        </is>
      </c>
      <c r="H123" t="inlineStr">
        <is>
          <t>Aramex</t>
        </is>
      </c>
      <c r="I123" t="inlineStr">
        <is>
          <t>Container</t>
        </is>
      </c>
      <c r="J123" t="inlineStr">
        <is>
          <t>Critical</t>
        </is>
      </c>
      <c r="K123" t="inlineStr">
        <is>
          <t>Delivered</t>
        </is>
      </c>
      <c r="L123" t="n">
        <v>575.4299999999999</v>
      </c>
      <c r="M123" t="n">
        <v>2338</v>
      </c>
      <c r="N123" t="n">
        <v>55.5</v>
      </c>
      <c r="O123" t="n">
        <v>4476.9</v>
      </c>
      <c r="P123" t="n">
        <v>988.8200000000001</v>
      </c>
      <c r="Q123">
        <f>ROUND(L123*M123*N123/1000+O123+P123,2)</f>
        <v/>
      </c>
      <c r="R123" t="inlineStr">
        <is>
          <t>Yes</t>
        </is>
      </c>
      <c r="S123">
        <f>IF(OR(E123="",D123=""),"",MAX(0,E123-D123))</f>
        <v/>
      </c>
      <c r="T123" t="inlineStr">
        <is>
          <t>No</t>
        </is>
      </c>
      <c r="U123" t="n">
        <v>22</v>
      </c>
      <c r="V123" t="inlineStr">
        <is>
          <t>COD</t>
        </is>
      </c>
      <c r="W123" t="n">
        <v>2</v>
      </c>
      <c r="X123" t="inlineStr">
        <is>
          <t>Address Error</t>
        </is>
      </c>
    </row>
    <row r="124">
      <c r="A124" t="inlineStr">
        <is>
          <t>ORD-2026-00123</t>
        </is>
      </c>
      <c r="B124" t="inlineStr">
        <is>
          <t>CUST-0210</t>
        </is>
      </c>
      <c r="C124" s="3" t="n">
        <v>46207</v>
      </c>
      <c r="D124" s="3" t="n">
        <v>46215</v>
      </c>
      <c r="E124" s="3" t="n">
        <v>46215</v>
      </c>
      <c r="F124" t="inlineStr">
        <is>
          <t>Ahmedabad</t>
        </is>
      </c>
      <c r="G124" t="inlineStr">
        <is>
          <t>Ahmedabad</t>
        </is>
      </c>
      <c r="H124" t="inlineStr">
        <is>
          <t>Delhivery</t>
        </is>
      </c>
      <c r="I124" t="inlineStr">
        <is>
          <t>Truck</t>
        </is>
      </c>
      <c r="J124" t="inlineStr">
        <is>
          <t>Normal</t>
        </is>
      </c>
      <c r="K124" t="inlineStr">
        <is>
          <t>Delivered</t>
        </is>
      </c>
      <c r="L124" t="n">
        <v>2475.81</v>
      </c>
      <c r="M124" t="n">
        <v>245</v>
      </c>
      <c r="N124" t="n">
        <v>37.86</v>
      </c>
      <c r="O124" t="n">
        <v>1845.09</v>
      </c>
      <c r="P124" t="n">
        <v>130.01</v>
      </c>
      <c r="Q124">
        <f>ROUND(L124*M124*N124/1000+O124+P124,2)</f>
        <v/>
      </c>
      <c r="R124" t="inlineStr">
        <is>
          <t>Yes</t>
        </is>
      </c>
      <c r="S124">
        <f>IF(OR(E124="",D124=""),"",MAX(0,E124-D124))</f>
        <v/>
      </c>
      <c r="T124" t="inlineStr">
        <is>
          <t>Yes</t>
        </is>
      </c>
      <c r="U124" t="n">
        <v>20</v>
      </c>
      <c r="V124" t="inlineStr">
        <is>
          <t>Paid</t>
        </is>
      </c>
      <c r="W124" t="n">
        <v>2</v>
      </c>
      <c r="X124" t="inlineStr">
        <is>
          <t>Customs</t>
        </is>
      </c>
    </row>
    <row r="125">
      <c r="A125" t="inlineStr">
        <is>
          <t>ORD-2026-00124</t>
        </is>
      </c>
      <c r="B125" t="inlineStr">
        <is>
          <t>CUST-0106</t>
        </is>
      </c>
      <c r="C125" s="3" t="n">
        <v>46139</v>
      </c>
      <c r="D125" s="3" t="n">
        <v>46145</v>
      </c>
      <c r="E125" s="3" t="n">
        <v>46145</v>
      </c>
      <c r="F125" t="inlineStr">
        <is>
          <t>Ahmedabad</t>
        </is>
      </c>
      <c r="G125" t="inlineStr">
        <is>
          <t>Ahmedabad</t>
        </is>
      </c>
      <c r="H125" t="inlineStr">
        <is>
          <t>DTDC</t>
        </is>
      </c>
      <c r="I125" t="inlineStr">
        <is>
          <t>Refrigerated Truck</t>
        </is>
      </c>
      <c r="J125" t="inlineStr">
        <is>
          <t>High</t>
        </is>
      </c>
      <c r="K125" t="inlineStr">
        <is>
          <t>Delivered</t>
        </is>
      </c>
      <c r="L125" t="n">
        <v>2334.79</v>
      </c>
      <c r="M125" t="n">
        <v>1984</v>
      </c>
      <c r="N125" t="n">
        <v>45.58</v>
      </c>
      <c r="O125" t="n">
        <v>6533.4</v>
      </c>
      <c r="P125" t="n">
        <v>807.67</v>
      </c>
      <c r="Q125">
        <f>ROUND(L125*M125*N125/1000+O125+P125,2)</f>
        <v/>
      </c>
      <c r="R125" t="inlineStr">
        <is>
          <t>Yes</t>
        </is>
      </c>
      <c r="S125">
        <f>IF(OR(E125="",D125=""),"",MAX(0,E125-D125))</f>
        <v/>
      </c>
      <c r="T125" t="inlineStr">
        <is>
          <t>Yes</t>
        </is>
      </c>
      <c r="U125" t="n">
        <v>65</v>
      </c>
      <c r="V125" t="inlineStr">
        <is>
          <t>Failed</t>
        </is>
      </c>
      <c r="W125" t="n">
        <v>2</v>
      </c>
      <c r="X125" t="inlineStr">
        <is>
          <t>None</t>
        </is>
      </c>
    </row>
    <row r="126">
      <c r="A126" t="inlineStr">
        <is>
          <t>ORD-2026-00125</t>
        </is>
      </c>
      <c r="B126" t="inlineStr">
        <is>
          <t>CUST-0104</t>
        </is>
      </c>
      <c r="C126" s="3" t="n">
        <v>46047</v>
      </c>
      <c r="D126" s="3" t="n">
        <v>46050</v>
      </c>
      <c r="E126" s="3" t="n">
        <v>46050</v>
      </c>
      <c r="F126" t="inlineStr">
        <is>
          <t>Jaipur</t>
        </is>
      </c>
      <c r="G126" t="inlineStr">
        <is>
          <t>Kolkata</t>
        </is>
      </c>
      <c r="H126" t="inlineStr">
        <is>
          <t>DHL</t>
        </is>
      </c>
      <c r="I126" t="inlineStr">
        <is>
          <t>Truck</t>
        </is>
      </c>
      <c r="J126" t="inlineStr">
        <is>
          <t>High</t>
        </is>
      </c>
      <c r="K126" t="inlineStr">
        <is>
          <t>Delivered</t>
        </is>
      </c>
      <c r="L126" t="n">
        <v>631.42</v>
      </c>
      <c r="M126" t="n">
        <v>1456</v>
      </c>
      <c r="N126" t="n">
        <v>23.24</v>
      </c>
      <c r="O126" t="n">
        <v>1149.77</v>
      </c>
      <c r="P126" t="n">
        <v>572.12</v>
      </c>
      <c r="Q126">
        <f>ROUND(L126*M126*N126/1000+O126+P126,2)</f>
        <v/>
      </c>
      <c r="R126" t="inlineStr">
        <is>
          <t>Yes</t>
        </is>
      </c>
      <c r="S126">
        <f>IF(OR(E126="",D126=""),"",MAX(0,E126-D126))</f>
        <v/>
      </c>
      <c r="T126" t="inlineStr">
        <is>
          <t>Yes</t>
        </is>
      </c>
      <c r="U126" t="n">
        <v>5</v>
      </c>
      <c r="V126" t="inlineStr">
        <is>
          <t>Paid</t>
        </is>
      </c>
      <c r="W126" t="n">
        <v>4</v>
      </c>
      <c r="X126" t="inlineStr">
        <is>
          <t>Weather</t>
        </is>
      </c>
    </row>
    <row r="127">
      <c r="A127" t="inlineStr">
        <is>
          <t>ORD-2026-00126</t>
        </is>
      </c>
      <c r="B127" t="inlineStr">
        <is>
          <t>CUST-0250</t>
        </is>
      </c>
      <c r="C127" s="3" t="n">
        <v>46119</v>
      </c>
      <c r="D127" s="3" t="n">
        <v>46127</v>
      </c>
      <c r="E127" s="3" t="n"/>
      <c r="F127" t="inlineStr">
        <is>
          <t>Mumbai</t>
        </is>
      </c>
      <c r="G127" t="inlineStr">
        <is>
          <t>Surat</t>
        </is>
      </c>
      <c r="H127" t="inlineStr">
        <is>
          <t>BlueDart</t>
        </is>
      </c>
      <c r="I127" t="inlineStr">
        <is>
          <t>Truck</t>
        </is>
      </c>
      <c r="J127" t="inlineStr">
        <is>
          <t>Normal</t>
        </is>
      </c>
      <c r="K127" t="inlineStr">
        <is>
          <t>Booked</t>
        </is>
      </c>
      <c r="L127" t="n">
        <v>207.17</v>
      </c>
      <c r="M127" t="n">
        <v>1782</v>
      </c>
      <c r="N127" t="n">
        <v>44.76</v>
      </c>
      <c r="O127" t="n">
        <v>824.17</v>
      </c>
      <c r="P127" t="n">
        <v>1466.45</v>
      </c>
      <c r="Q127">
        <f>ROUND(L127*M127*N127/1000+O127+P127,2)</f>
        <v/>
      </c>
      <c r="R127" t="inlineStr">
        <is>
          <t>No</t>
        </is>
      </c>
      <c r="S127">
        <f>IF(OR(E127="",D127=""),"",MAX(0,E127-D127))</f>
        <v/>
      </c>
      <c r="T127" t="inlineStr">
        <is>
          <t>No</t>
        </is>
      </c>
      <c r="U127" t="n">
        <v>35</v>
      </c>
      <c r="V127" t="inlineStr">
        <is>
          <t>Paid</t>
        </is>
      </c>
      <c r="W127" t="n">
        <v>1</v>
      </c>
      <c r="X127" t="inlineStr">
        <is>
          <t>Damaged Package</t>
        </is>
      </c>
    </row>
    <row r="128">
      <c r="A128" t="inlineStr">
        <is>
          <t>ORD-2026-00127</t>
        </is>
      </c>
      <c r="B128" t="inlineStr">
        <is>
          <t>CUST-0102</t>
        </is>
      </c>
      <c r="C128" s="3" t="n">
        <v>46094</v>
      </c>
      <c r="D128" s="3" t="n">
        <v>46095</v>
      </c>
      <c r="E128" s="3" t="n">
        <v>46095</v>
      </c>
      <c r="F128" t="inlineStr">
        <is>
          <t>Mumbai</t>
        </is>
      </c>
      <c r="G128" t="inlineStr">
        <is>
          <t>Pune</t>
        </is>
      </c>
      <c r="H128" t="inlineStr">
        <is>
          <t>DHL</t>
        </is>
      </c>
      <c r="I128" t="inlineStr">
        <is>
          <t>Bike</t>
        </is>
      </c>
      <c r="J128" t="inlineStr">
        <is>
          <t>Normal</t>
        </is>
      </c>
      <c r="K128" t="inlineStr">
        <is>
          <t>Delivered</t>
        </is>
      </c>
      <c r="L128" t="n">
        <v>39.64</v>
      </c>
      <c r="M128" t="n">
        <v>853</v>
      </c>
      <c r="N128" t="n">
        <v>41.46</v>
      </c>
      <c r="O128" t="n">
        <v>105.33</v>
      </c>
      <c r="P128" t="n">
        <v>1074.81</v>
      </c>
      <c r="Q128">
        <f>ROUND(L128*M128*N128/1000+O128+P128,2)</f>
        <v/>
      </c>
      <c r="R128" t="inlineStr">
        <is>
          <t>Yes</t>
        </is>
      </c>
      <c r="S128">
        <f>IF(OR(E128="",D128=""),"",MAX(0,E128-D128))</f>
        <v/>
      </c>
      <c r="T128" t="inlineStr">
        <is>
          <t>No</t>
        </is>
      </c>
      <c r="U128" t="n">
        <v>70</v>
      </c>
      <c r="V128" t="inlineStr">
        <is>
          <t>COD</t>
        </is>
      </c>
      <c r="W128" t="n">
        <v>4</v>
      </c>
      <c r="X128" t="inlineStr">
        <is>
          <t>Customer Unavailable</t>
        </is>
      </c>
    </row>
    <row r="129">
      <c r="A129" t="inlineStr">
        <is>
          <t>ORD-2026-00128</t>
        </is>
      </c>
      <c r="B129" t="inlineStr">
        <is>
          <t>CUST-0088</t>
        </is>
      </c>
      <c r="C129" s="3" t="n">
        <v>46212</v>
      </c>
      <c r="D129" s="3" t="n">
        <v>46215</v>
      </c>
      <c r="E129" s="3" t="n">
        <v>46217</v>
      </c>
      <c r="F129" t="inlineStr">
        <is>
          <t>Kolkata</t>
        </is>
      </c>
      <c r="G129" t="inlineStr">
        <is>
          <t>Kolkata</t>
        </is>
      </c>
      <c r="H129" t="inlineStr">
        <is>
          <t>DTDC</t>
        </is>
      </c>
      <c r="I129" t="inlineStr">
        <is>
          <t>Container</t>
        </is>
      </c>
      <c r="J129" t="inlineStr">
        <is>
          <t>High</t>
        </is>
      </c>
      <c r="K129" t="inlineStr">
        <is>
          <t>Delivered</t>
        </is>
      </c>
      <c r="L129" t="n">
        <v>196.53</v>
      </c>
      <c r="M129" t="n">
        <v>1421</v>
      </c>
      <c r="N129" t="n">
        <v>11.06</v>
      </c>
      <c r="O129" t="n">
        <v>173.66</v>
      </c>
      <c r="P129" t="n">
        <v>1261.24</v>
      </c>
      <c r="Q129">
        <f>ROUND(L129*M129*N129/1000+O129+P129,2)</f>
        <v/>
      </c>
      <c r="R129" t="inlineStr">
        <is>
          <t>No</t>
        </is>
      </c>
      <c r="S129">
        <f>IF(OR(E129="",D129=""),"",MAX(0,E129-D129))</f>
        <v/>
      </c>
      <c r="T129" t="inlineStr">
        <is>
          <t>Yes</t>
        </is>
      </c>
      <c r="U129" t="n">
        <v>35</v>
      </c>
      <c r="V129" t="inlineStr">
        <is>
          <t>Failed</t>
        </is>
      </c>
      <c r="W129" t="n">
        <v>4</v>
      </c>
      <c r="X129" t="inlineStr">
        <is>
          <t>Address Error</t>
        </is>
      </c>
    </row>
    <row r="130">
      <c r="A130" t="inlineStr">
        <is>
          <t>ORD-2026-00129</t>
        </is>
      </c>
      <c r="B130" t="inlineStr">
        <is>
          <t>CUST-0019</t>
        </is>
      </c>
      <c r="C130" s="3" t="n">
        <v>46114</v>
      </c>
      <c r="D130" s="3" t="n">
        <v>46121</v>
      </c>
      <c r="E130" s="3" t="n">
        <v>46121</v>
      </c>
      <c r="F130" t="inlineStr">
        <is>
          <t>Mumbai</t>
        </is>
      </c>
      <c r="G130" t="inlineStr">
        <is>
          <t>Pune</t>
        </is>
      </c>
      <c r="H130" t="inlineStr">
        <is>
          <t>DHL</t>
        </is>
      </c>
      <c r="I130" t="inlineStr">
        <is>
          <t>Container</t>
        </is>
      </c>
      <c r="J130" t="inlineStr">
        <is>
          <t>Normal</t>
        </is>
      </c>
      <c r="K130" t="inlineStr">
        <is>
          <t>Delivered</t>
        </is>
      </c>
      <c r="L130" t="n">
        <v>1651.85</v>
      </c>
      <c r="M130" t="n">
        <v>356</v>
      </c>
      <c r="N130" t="n">
        <v>52.01</v>
      </c>
      <c r="O130" t="n">
        <v>1459.6</v>
      </c>
      <c r="P130" t="n">
        <v>384.75</v>
      </c>
      <c r="Q130">
        <f>ROUND(L130*M130*N130/1000+O130+P130,2)</f>
        <v/>
      </c>
      <c r="R130" t="inlineStr">
        <is>
          <t>Yes</t>
        </is>
      </c>
      <c r="S130">
        <f>IF(OR(E130="",D130=""),"",MAX(0,E130-D130))</f>
        <v/>
      </c>
      <c r="T130" t="inlineStr">
        <is>
          <t>No</t>
        </is>
      </c>
      <c r="U130" t="n">
        <v>41</v>
      </c>
      <c r="V130" t="inlineStr">
        <is>
          <t>COD</t>
        </is>
      </c>
      <c r="W130" t="n">
        <v>1</v>
      </c>
      <c r="X130" t="inlineStr">
        <is>
          <t>None</t>
        </is>
      </c>
    </row>
    <row r="131">
      <c r="A131" t="inlineStr">
        <is>
          <t>ORD-2026-00130</t>
        </is>
      </c>
      <c r="B131" t="inlineStr">
        <is>
          <t>CUST-0105</t>
        </is>
      </c>
      <c r="C131" s="3" t="n">
        <v>46024</v>
      </c>
      <c r="D131" s="3" t="n">
        <v>46029</v>
      </c>
      <c r="E131" s="3" t="n">
        <v>46029</v>
      </c>
      <c r="F131" t="inlineStr">
        <is>
          <t>Mumbai</t>
        </is>
      </c>
      <c r="G131" t="inlineStr">
        <is>
          <t>Ahmedabad</t>
        </is>
      </c>
      <c r="H131" t="inlineStr">
        <is>
          <t>BlueDart</t>
        </is>
      </c>
      <c r="I131" t="inlineStr">
        <is>
          <t>Refrigerated Truck</t>
        </is>
      </c>
      <c r="J131" t="inlineStr">
        <is>
          <t>Low</t>
        </is>
      </c>
      <c r="K131" t="inlineStr">
        <is>
          <t>Delivered</t>
        </is>
      </c>
      <c r="L131" t="n">
        <v>256.03</v>
      </c>
      <c r="M131" t="n">
        <v>362</v>
      </c>
      <c r="N131" t="n">
        <v>18.68</v>
      </c>
      <c r="O131" t="n">
        <v>98.56</v>
      </c>
      <c r="P131" t="n">
        <v>841.02</v>
      </c>
      <c r="Q131">
        <f>ROUND(L131*M131*N131/1000+O131+P131,2)</f>
        <v/>
      </c>
      <c r="R131" t="inlineStr">
        <is>
          <t>Yes</t>
        </is>
      </c>
      <c r="S131">
        <f>IF(OR(E131="",D131=""),"",MAX(0,E131-D131))</f>
        <v/>
      </c>
      <c r="T131" t="inlineStr">
        <is>
          <t>No</t>
        </is>
      </c>
      <c r="U131" t="n">
        <v>50</v>
      </c>
      <c r="V131" t="inlineStr">
        <is>
          <t>Paid</t>
        </is>
      </c>
      <c r="W131" t="n">
        <v>3</v>
      </c>
      <c r="X131" t="inlineStr">
        <is>
          <t>Weather</t>
        </is>
      </c>
    </row>
    <row r="132">
      <c r="A132" t="inlineStr">
        <is>
          <t>ORD-2026-00131</t>
        </is>
      </c>
      <c r="B132" t="inlineStr">
        <is>
          <t>CUST-0036</t>
        </is>
      </c>
      <c r="C132" s="3" t="n">
        <v>46122</v>
      </c>
      <c r="D132" s="3" t="n">
        <v>46124</v>
      </c>
      <c r="E132" s="3" t="n">
        <v>46125</v>
      </c>
      <c r="F132" t="inlineStr">
        <is>
          <t>Pune</t>
        </is>
      </c>
      <c r="G132" t="inlineStr">
        <is>
          <t>Pune</t>
        </is>
      </c>
      <c r="H132" t="inlineStr">
        <is>
          <t>FedEx</t>
        </is>
      </c>
      <c r="I132" t="inlineStr">
        <is>
          <t>Container</t>
        </is>
      </c>
      <c r="J132" t="inlineStr">
        <is>
          <t>Normal</t>
        </is>
      </c>
      <c r="K132" t="inlineStr">
        <is>
          <t>Delivered</t>
        </is>
      </c>
      <c r="L132" t="n">
        <v>2481.83</v>
      </c>
      <c r="M132" t="n">
        <v>999</v>
      </c>
      <c r="N132" t="n">
        <v>40.6</v>
      </c>
      <c r="O132" t="n">
        <v>4044.07</v>
      </c>
      <c r="P132" t="n">
        <v>583.48</v>
      </c>
      <c r="Q132">
        <f>ROUND(L132*M132*N132/1000+O132+P132,2)</f>
        <v/>
      </c>
      <c r="R132" t="inlineStr">
        <is>
          <t>No</t>
        </is>
      </c>
      <c r="S132">
        <f>IF(OR(E132="",D132=""),"",MAX(0,E132-D132))</f>
        <v/>
      </c>
      <c r="T132" t="inlineStr">
        <is>
          <t>Yes</t>
        </is>
      </c>
      <c r="U132" t="n">
        <v>22</v>
      </c>
      <c r="V132" t="inlineStr">
        <is>
          <t>Failed</t>
        </is>
      </c>
      <c r="W132" t="n">
        <v>3</v>
      </c>
      <c r="X132" t="inlineStr">
        <is>
          <t>Weather</t>
        </is>
      </c>
    </row>
    <row r="133">
      <c r="A133" t="inlineStr">
        <is>
          <t>ORD-2026-00132</t>
        </is>
      </c>
      <c r="B133" t="inlineStr">
        <is>
          <t>CUST-0035</t>
        </is>
      </c>
      <c r="C133" s="3" t="n">
        <v>46099</v>
      </c>
      <c r="D133" s="3" t="n">
        <v>46107</v>
      </c>
      <c r="E133" s="3" t="n">
        <v>46109</v>
      </c>
      <c r="F133" t="inlineStr">
        <is>
          <t>Pune</t>
        </is>
      </c>
      <c r="G133" t="inlineStr">
        <is>
          <t>Ahmedabad</t>
        </is>
      </c>
      <c r="H133" t="inlineStr">
        <is>
          <t>Delhivery</t>
        </is>
      </c>
      <c r="I133" t="inlineStr">
        <is>
          <t>Refrigerated Truck</t>
        </is>
      </c>
      <c r="J133" t="inlineStr">
        <is>
          <t>Critical</t>
        </is>
      </c>
      <c r="K133" t="inlineStr">
        <is>
          <t>Delivered</t>
        </is>
      </c>
      <c r="L133" t="n">
        <v>2360.58</v>
      </c>
      <c r="M133" t="n">
        <v>2565</v>
      </c>
      <c r="N133" t="n">
        <v>36.26</v>
      </c>
      <c r="O133" t="n">
        <v>14709.89</v>
      </c>
      <c r="P133" t="n">
        <v>697.64</v>
      </c>
      <c r="Q133">
        <f>ROUND(L133*M133*N133/1000+O133+P133,2)</f>
        <v/>
      </c>
      <c r="R133" t="inlineStr">
        <is>
          <t>No</t>
        </is>
      </c>
      <c r="S133">
        <f>IF(OR(E133="",D133=""),"",MAX(0,E133-D133))</f>
        <v/>
      </c>
      <c r="T133" t="inlineStr">
        <is>
          <t>No</t>
        </is>
      </c>
      <c r="U133" t="n">
        <v>57</v>
      </c>
      <c r="V133" t="inlineStr">
        <is>
          <t>COD</t>
        </is>
      </c>
      <c r="W133" t="n">
        <v>4</v>
      </c>
      <c r="X133" t="inlineStr">
        <is>
          <t>Customer Unavailable</t>
        </is>
      </c>
    </row>
    <row r="134">
      <c r="A134" t="inlineStr">
        <is>
          <t>ORD-2026-00133</t>
        </is>
      </c>
      <c r="B134" t="inlineStr">
        <is>
          <t>CUST-0075</t>
        </is>
      </c>
      <c r="C134" s="3" t="n">
        <v>46233</v>
      </c>
      <c r="D134" s="3" t="n">
        <v>46236</v>
      </c>
      <c r="E134" s="3" t="n">
        <v>46236</v>
      </c>
      <c r="F134" t="inlineStr">
        <is>
          <t>Jaipur</t>
        </is>
      </c>
      <c r="G134" t="inlineStr">
        <is>
          <t>Kolkata</t>
        </is>
      </c>
      <c r="H134" t="inlineStr">
        <is>
          <t>Aramex</t>
        </is>
      </c>
      <c r="I134" t="inlineStr">
        <is>
          <t>Truck</t>
        </is>
      </c>
      <c r="J134" t="inlineStr">
        <is>
          <t>High</t>
        </is>
      </c>
      <c r="K134" t="inlineStr">
        <is>
          <t>Delivered</t>
        </is>
      </c>
      <c r="L134" t="n">
        <v>1738.38</v>
      </c>
      <c r="M134" t="n">
        <v>1967</v>
      </c>
      <c r="N134" t="n">
        <v>25.91</v>
      </c>
      <c r="O134" t="n">
        <v>7785.37</v>
      </c>
      <c r="P134" t="n">
        <v>1453.71</v>
      </c>
      <c r="Q134">
        <f>ROUND(L134*M134*N134/1000+O134+P134,2)</f>
        <v/>
      </c>
      <c r="R134" t="inlineStr">
        <is>
          <t>Yes</t>
        </is>
      </c>
      <c r="S134">
        <f>IF(OR(E134="",D134=""),"",MAX(0,E134-D134))</f>
        <v/>
      </c>
      <c r="T134" t="inlineStr">
        <is>
          <t>No</t>
        </is>
      </c>
      <c r="U134" t="n">
        <v>36</v>
      </c>
      <c r="V134" t="inlineStr">
        <is>
          <t>Failed</t>
        </is>
      </c>
      <c r="W134" t="n">
        <v>3</v>
      </c>
      <c r="X134" t="inlineStr">
        <is>
          <t>None</t>
        </is>
      </c>
    </row>
    <row r="135">
      <c r="A135" t="inlineStr">
        <is>
          <t>ORD-2026-00134</t>
        </is>
      </c>
      <c r="B135" t="inlineStr">
        <is>
          <t>CUST-0054</t>
        </is>
      </c>
      <c r="C135" s="3" t="n">
        <v>46167</v>
      </c>
      <c r="D135" s="3" t="n">
        <v>46171</v>
      </c>
      <c r="E135" s="3" t="n">
        <v>46172</v>
      </c>
      <c r="F135" t="inlineStr">
        <is>
          <t>Jaipur</t>
        </is>
      </c>
      <c r="G135" t="inlineStr">
        <is>
          <t>Pune</t>
        </is>
      </c>
      <c r="H135" t="inlineStr">
        <is>
          <t>Aramex</t>
        </is>
      </c>
      <c r="I135" t="inlineStr">
        <is>
          <t>Van</t>
        </is>
      </c>
      <c r="J135" t="inlineStr">
        <is>
          <t>Critical</t>
        </is>
      </c>
      <c r="K135" t="inlineStr">
        <is>
          <t>Delivered</t>
        </is>
      </c>
      <c r="L135" t="n">
        <v>1704.44</v>
      </c>
      <c r="M135" t="n">
        <v>2258</v>
      </c>
      <c r="N135" t="n">
        <v>9.529999999999999</v>
      </c>
      <c r="O135" t="n">
        <v>2700.66</v>
      </c>
      <c r="P135" t="n">
        <v>1415.6</v>
      </c>
      <c r="Q135">
        <f>ROUND(L135*M135*N135/1000+O135+P135,2)</f>
        <v/>
      </c>
      <c r="R135" t="inlineStr">
        <is>
          <t>No</t>
        </is>
      </c>
      <c r="S135">
        <f>IF(OR(E135="",D135=""),"",MAX(0,E135-D135))</f>
        <v/>
      </c>
      <c r="T135" t="inlineStr">
        <is>
          <t>No</t>
        </is>
      </c>
      <c r="U135" t="n">
        <v>18</v>
      </c>
      <c r="V135" t="inlineStr">
        <is>
          <t>COD</t>
        </is>
      </c>
      <c r="W135" t="n">
        <v>2</v>
      </c>
      <c r="X135" t="inlineStr">
        <is>
          <t>Vehicle Breakdown</t>
        </is>
      </c>
    </row>
    <row r="136">
      <c r="A136" t="inlineStr">
        <is>
          <t>ORD-2026-00135</t>
        </is>
      </c>
      <c r="B136" t="inlineStr">
        <is>
          <t>CUST-0236</t>
        </is>
      </c>
      <c r="C136" s="3" t="n">
        <v>46191</v>
      </c>
      <c r="D136" s="3" t="n">
        <v>46194</v>
      </c>
      <c r="E136" s="3" t="n">
        <v>46195</v>
      </c>
      <c r="F136" t="inlineStr">
        <is>
          <t>Chennai</t>
        </is>
      </c>
      <c r="G136" t="inlineStr">
        <is>
          <t>Surat</t>
        </is>
      </c>
      <c r="H136" t="inlineStr">
        <is>
          <t>BlueDart</t>
        </is>
      </c>
      <c r="I136" t="inlineStr">
        <is>
          <t>Refrigerated Truck</t>
        </is>
      </c>
      <c r="J136" t="inlineStr">
        <is>
          <t>Low</t>
        </is>
      </c>
      <c r="K136" t="inlineStr">
        <is>
          <t>Delivered</t>
        </is>
      </c>
      <c r="L136" t="n">
        <v>185.38</v>
      </c>
      <c r="M136" t="n">
        <v>2454</v>
      </c>
      <c r="N136" t="n">
        <v>35.32</v>
      </c>
      <c r="O136" t="n">
        <v>868.4400000000001</v>
      </c>
      <c r="P136" t="n">
        <v>769.79</v>
      </c>
      <c r="Q136">
        <f>ROUND(L136*M136*N136/1000+O136+P136,2)</f>
        <v/>
      </c>
      <c r="R136" t="inlineStr">
        <is>
          <t>No</t>
        </is>
      </c>
      <c r="S136">
        <f>IF(OR(E136="",D136=""),"",MAX(0,E136-D136))</f>
        <v/>
      </c>
      <c r="T136" t="inlineStr">
        <is>
          <t>Yes</t>
        </is>
      </c>
      <c r="U136" t="n">
        <v>32</v>
      </c>
      <c r="V136" t="inlineStr">
        <is>
          <t>COD</t>
        </is>
      </c>
      <c r="W136" t="n">
        <v>2</v>
      </c>
      <c r="X136" t="inlineStr">
        <is>
          <t>Damaged Package</t>
        </is>
      </c>
    </row>
    <row r="137">
      <c r="A137" t="inlineStr">
        <is>
          <t>ORD-2026-00136</t>
        </is>
      </c>
      <c r="B137" t="inlineStr">
        <is>
          <t>CUST-0067</t>
        </is>
      </c>
      <c r="C137" s="3" t="n">
        <v>46179</v>
      </c>
      <c r="D137" s="3" t="n">
        <v>46180</v>
      </c>
      <c r="E137" s="3" t="n">
        <v>46181</v>
      </c>
      <c r="F137" t="inlineStr">
        <is>
          <t>Bengaluru</t>
        </is>
      </c>
      <c r="G137" t="inlineStr">
        <is>
          <t>Surat</t>
        </is>
      </c>
      <c r="H137" t="inlineStr">
        <is>
          <t>Maersk</t>
        </is>
      </c>
      <c r="I137" t="inlineStr">
        <is>
          <t>Bike</t>
        </is>
      </c>
      <c r="J137" t="inlineStr">
        <is>
          <t>Normal</t>
        </is>
      </c>
      <c r="K137" t="inlineStr">
        <is>
          <t>Delivered</t>
        </is>
      </c>
      <c r="L137" t="n">
        <v>1617.04</v>
      </c>
      <c r="M137" t="n">
        <v>1363</v>
      </c>
      <c r="N137" t="n">
        <v>63.05</v>
      </c>
      <c r="O137" t="n">
        <v>7757.98</v>
      </c>
      <c r="P137" t="n">
        <v>35.61</v>
      </c>
      <c r="Q137">
        <f>ROUND(L137*M137*N137/1000+O137+P137,2)</f>
        <v/>
      </c>
      <c r="R137" t="inlineStr">
        <is>
          <t>No</t>
        </is>
      </c>
      <c r="S137">
        <f>IF(OR(E137="",D137=""),"",MAX(0,E137-D137))</f>
        <v/>
      </c>
      <c r="T137" t="inlineStr">
        <is>
          <t>No</t>
        </is>
      </c>
      <c r="U137" t="n">
        <v>48</v>
      </c>
      <c r="V137" t="inlineStr">
        <is>
          <t>Failed</t>
        </is>
      </c>
      <c r="W137" t="n">
        <v>4</v>
      </c>
      <c r="X137" t="inlineStr">
        <is>
          <t>Customer Unavailable</t>
        </is>
      </c>
    </row>
    <row r="138">
      <c r="A138" t="inlineStr">
        <is>
          <t>ORD-2026-00137</t>
        </is>
      </c>
      <c r="B138" t="inlineStr">
        <is>
          <t>CUST-0080</t>
        </is>
      </c>
      <c r="C138" s="3" t="n">
        <v>46196</v>
      </c>
      <c r="D138" s="3" t="n">
        <v>46199</v>
      </c>
      <c r="E138" s="3" t="n"/>
      <c r="F138" t="inlineStr">
        <is>
          <t>Hyderabad</t>
        </is>
      </c>
      <c r="G138" t="inlineStr">
        <is>
          <t>Jaipur</t>
        </is>
      </c>
      <c r="H138" t="inlineStr">
        <is>
          <t>Aramex</t>
        </is>
      </c>
      <c r="I138" t="inlineStr">
        <is>
          <t>Truck</t>
        </is>
      </c>
      <c r="J138" t="inlineStr">
        <is>
          <t>Critical</t>
        </is>
      </c>
      <c r="K138" t="inlineStr">
        <is>
          <t>In Transit</t>
        </is>
      </c>
      <c r="L138" t="n">
        <v>738.9299999999999</v>
      </c>
      <c r="M138" t="n">
        <v>356</v>
      </c>
      <c r="N138" t="n">
        <v>14.62</v>
      </c>
      <c r="O138" t="n">
        <v>332.44</v>
      </c>
      <c r="P138" t="n">
        <v>229.68</v>
      </c>
      <c r="Q138">
        <f>ROUND(L138*M138*N138/1000+O138+P138,2)</f>
        <v/>
      </c>
      <c r="R138" t="inlineStr">
        <is>
          <t>No</t>
        </is>
      </c>
      <c r="S138">
        <f>IF(OR(E138="",D138=""),"",MAX(0,E138-D138))</f>
        <v/>
      </c>
      <c r="T138" t="inlineStr">
        <is>
          <t>No</t>
        </is>
      </c>
      <c r="U138" t="n">
        <v>61</v>
      </c>
      <c r="V138" t="inlineStr">
        <is>
          <t>Paid</t>
        </is>
      </c>
      <c r="W138" t="n">
        <v>4</v>
      </c>
      <c r="X138" t="inlineStr">
        <is>
          <t>Damaged Package</t>
        </is>
      </c>
    </row>
    <row r="139">
      <c r="A139" t="inlineStr">
        <is>
          <t>ORD-2026-00138</t>
        </is>
      </c>
      <c r="B139" t="inlineStr">
        <is>
          <t>CUST-0205</t>
        </is>
      </c>
      <c r="C139" s="3" t="n">
        <v>46201</v>
      </c>
      <c r="D139" s="3" t="n">
        <v>46209</v>
      </c>
      <c r="E139" s="3" t="n">
        <v>46209</v>
      </c>
      <c r="F139" t="inlineStr">
        <is>
          <t>Delhi</t>
        </is>
      </c>
      <c r="G139" t="inlineStr">
        <is>
          <t>Bengaluru</t>
        </is>
      </c>
      <c r="H139" t="inlineStr">
        <is>
          <t>DTDC</t>
        </is>
      </c>
      <c r="I139" t="inlineStr">
        <is>
          <t>Truck</t>
        </is>
      </c>
      <c r="J139" t="inlineStr">
        <is>
          <t>Normal</t>
        </is>
      </c>
      <c r="K139" t="inlineStr">
        <is>
          <t>Delivered</t>
        </is>
      </c>
      <c r="L139" t="n">
        <v>2025.56</v>
      </c>
      <c r="M139" t="n">
        <v>476</v>
      </c>
      <c r="N139" t="n">
        <v>9.289999999999999</v>
      </c>
      <c r="O139" t="n">
        <v>453.09</v>
      </c>
      <c r="P139" t="n">
        <v>181.86</v>
      </c>
      <c r="Q139">
        <f>ROUND(L139*M139*N139/1000+O139+P139,2)</f>
        <v/>
      </c>
      <c r="R139" t="inlineStr">
        <is>
          <t>Yes</t>
        </is>
      </c>
      <c r="S139">
        <f>IF(OR(E139="",D139=""),"",MAX(0,E139-D139))</f>
        <v/>
      </c>
      <c r="T139" t="inlineStr">
        <is>
          <t>No</t>
        </is>
      </c>
      <c r="U139" t="n">
        <v>72</v>
      </c>
      <c r="V139" t="inlineStr">
        <is>
          <t>Failed</t>
        </is>
      </c>
      <c r="W139" t="n">
        <v>4</v>
      </c>
      <c r="X139" t="inlineStr">
        <is>
          <t>Address Error</t>
        </is>
      </c>
    </row>
    <row r="140">
      <c r="A140" t="inlineStr">
        <is>
          <t>ORD-2026-00139</t>
        </is>
      </c>
      <c r="B140" t="inlineStr">
        <is>
          <t>CUST-0152</t>
        </is>
      </c>
      <c r="C140" s="3" t="n">
        <v>46227</v>
      </c>
      <c r="D140" s="3" t="n">
        <v>46234</v>
      </c>
      <c r="E140" s="3" t="n">
        <v>46235</v>
      </c>
      <c r="F140" t="inlineStr">
        <is>
          <t>Chennai</t>
        </is>
      </c>
      <c r="G140" t="inlineStr">
        <is>
          <t>Chennai</t>
        </is>
      </c>
      <c r="H140" t="inlineStr">
        <is>
          <t>BlueDart</t>
        </is>
      </c>
      <c r="I140" t="inlineStr">
        <is>
          <t>Truck</t>
        </is>
      </c>
      <c r="J140" t="inlineStr">
        <is>
          <t>Normal</t>
        </is>
      </c>
      <c r="K140" t="inlineStr">
        <is>
          <t>Delivered</t>
        </is>
      </c>
      <c r="L140" t="n">
        <v>1643.44</v>
      </c>
      <c r="M140" t="n">
        <v>1625</v>
      </c>
      <c r="N140" t="n">
        <v>9.66</v>
      </c>
      <c r="O140" t="n">
        <v>1724.5</v>
      </c>
      <c r="P140" t="n">
        <v>312.04</v>
      </c>
      <c r="Q140">
        <f>ROUND(L140*M140*N140/1000+O140+P140,2)</f>
        <v/>
      </c>
      <c r="R140" t="inlineStr">
        <is>
          <t>No</t>
        </is>
      </c>
      <c r="S140">
        <f>IF(OR(E140="",D140=""),"",MAX(0,E140-D140))</f>
        <v/>
      </c>
      <c r="T140" t="inlineStr">
        <is>
          <t>No</t>
        </is>
      </c>
      <c r="U140" t="n">
        <v>9</v>
      </c>
      <c r="V140" t="inlineStr">
        <is>
          <t>Paid</t>
        </is>
      </c>
      <c r="W140" t="n">
        <v>5</v>
      </c>
      <c r="X140" t="inlineStr">
        <is>
          <t>Address Error</t>
        </is>
      </c>
    </row>
    <row r="141">
      <c r="A141" t="inlineStr">
        <is>
          <t>ORD-2026-00140</t>
        </is>
      </c>
      <c r="B141" t="inlineStr">
        <is>
          <t>CUST-0157</t>
        </is>
      </c>
      <c r="C141" s="3" t="n">
        <v>46116</v>
      </c>
      <c r="D141" s="3" t="n">
        <v>46122</v>
      </c>
      <c r="E141" s="3" t="n">
        <v>46122</v>
      </c>
      <c r="F141" t="inlineStr">
        <is>
          <t>Chennai</t>
        </is>
      </c>
      <c r="G141" t="inlineStr">
        <is>
          <t>Kolkata</t>
        </is>
      </c>
      <c r="H141" t="inlineStr">
        <is>
          <t>BlueDart</t>
        </is>
      </c>
      <c r="I141" t="inlineStr">
        <is>
          <t>Refrigerated Truck</t>
        </is>
      </c>
      <c r="J141" t="inlineStr">
        <is>
          <t>High</t>
        </is>
      </c>
      <c r="K141" t="inlineStr">
        <is>
          <t>Delivered</t>
        </is>
      </c>
      <c r="L141" t="n">
        <v>1676.92</v>
      </c>
      <c r="M141" t="n">
        <v>2009</v>
      </c>
      <c r="N141" t="n">
        <v>38.08</v>
      </c>
      <c r="O141" t="n">
        <v>8768.1</v>
      </c>
      <c r="P141" t="n">
        <v>903.52</v>
      </c>
      <c r="Q141">
        <f>ROUND(L141*M141*N141/1000+O141+P141,2)</f>
        <v/>
      </c>
      <c r="R141" t="inlineStr">
        <is>
          <t>Yes</t>
        </is>
      </c>
      <c r="S141">
        <f>IF(OR(E141="",D141=""),"",MAX(0,E141-D141))</f>
        <v/>
      </c>
      <c r="T141" t="inlineStr">
        <is>
          <t>No</t>
        </is>
      </c>
      <c r="U141" t="n">
        <v>80</v>
      </c>
      <c r="V141" t="inlineStr">
        <is>
          <t>Pending</t>
        </is>
      </c>
      <c r="W141" t="n">
        <v>3</v>
      </c>
      <c r="X141" t="inlineStr">
        <is>
          <t>Customs</t>
        </is>
      </c>
    </row>
    <row r="142">
      <c r="A142" t="inlineStr">
        <is>
          <t>ORD-2026-00141</t>
        </is>
      </c>
      <c r="B142" t="inlineStr">
        <is>
          <t>CUST-0108</t>
        </is>
      </c>
      <c r="C142" s="3" t="n">
        <v>46174</v>
      </c>
      <c r="D142" s="3" t="n">
        <v>46176</v>
      </c>
      <c r="E142" s="3" t="n">
        <v>46177</v>
      </c>
      <c r="F142" t="inlineStr">
        <is>
          <t>Kolkata</t>
        </is>
      </c>
      <c r="G142" t="inlineStr">
        <is>
          <t>Delhi</t>
        </is>
      </c>
      <c r="H142" t="inlineStr">
        <is>
          <t>DTDC</t>
        </is>
      </c>
      <c r="I142" t="inlineStr">
        <is>
          <t>Container</t>
        </is>
      </c>
      <c r="J142" t="inlineStr">
        <is>
          <t>Critical</t>
        </is>
      </c>
      <c r="K142" t="inlineStr">
        <is>
          <t>Delivered</t>
        </is>
      </c>
      <c r="L142" t="n">
        <v>596.8099999999999</v>
      </c>
      <c r="M142" t="n">
        <v>484</v>
      </c>
      <c r="N142" t="n">
        <v>18.43</v>
      </c>
      <c r="O142" t="n">
        <v>381.2</v>
      </c>
      <c r="P142" t="n">
        <v>776.02</v>
      </c>
      <c r="Q142">
        <f>ROUND(L142*M142*N142/1000+O142+P142,2)</f>
        <v/>
      </c>
      <c r="R142" t="inlineStr">
        <is>
          <t>No</t>
        </is>
      </c>
      <c r="S142">
        <f>IF(OR(E142="",D142=""),"",MAX(0,E142-D142))</f>
        <v/>
      </c>
      <c r="T142" t="inlineStr">
        <is>
          <t>Yes</t>
        </is>
      </c>
      <c r="U142" t="n">
        <v>63</v>
      </c>
      <c r="V142" t="inlineStr">
        <is>
          <t>Pending</t>
        </is>
      </c>
      <c r="W142" t="n">
        <v>5</v>
      </c>
      <c r="X142" t="inlineStr">
        <is>
          <t>Address Error</t>
        </is>
      </c>
    </row>
    <row r="143">
      <c r="A143" t="inlineStr">
        <is>
          <t>ORD-2026-00142</t>
        </is>
      </c>
      <c r="B143" t="inlineStr">
        <is>
          <t>CUST-0050</t>
        </is>
      </c>
      <c r="C143" s="3" t="n">
        <v>46148</v>
      </c>
      <c r="D143" s="3" t="n">
        <v>46153</v>
      </c>
      <c r="E143" s="3" t="n">
        <v>46153</v>
      </c>
      <c r="F143" t="inlineStr">
        <is>
          <t>Chennai</t>
        </is>
      </c>
      <c r="G143" t="inlineStr">
        <is>
          <t>Surat</t>
        </is>
      </c>
      <c r="H143" t="inlineStr">
        <is>
          <t>DTDC</t>
        </is>
      </c>
      <c r="I143" t="inlineStr">
        <is>
          <t>Container</t>
        </is>
      </c>
      <c r="J143" t="inlineStr">
        <is>
          <t>Critical</t>
        </is>
      </c>
      <c r="K143" t="inlineStr">
        <is>
          <t>Delivered</t>
        </is>
      </c>
      <c r="L143" t="n">
        <v>1127.78</v>
      </c>
      <c r="M143" t="n">
        <v>224</v>
      </c>
      <c r="N143" t="n">
        <v>57.33</v>
      </c>
      <c r="O143" t="n">
        <v>1261.61</v>
      </c>
      <c r="P143" t="n">
        <v>737.22</v>
      </c>
      <c r="Q143">
        <f>ROUND(L143*M143*N143/1000+O143+P143,2)</f>
        <v/>
      </c>
      <c r="R143" t="inlineStr">
        <is>
          <t>Yes</t>
        </is>
      </c>
      <c r="S143">
        <f>IF(OR(E143="",D143=""),"",MAX(0,E143-D143))</f>
        <v/>
      </c>
      <c r="T143" t="inlineStr">
        <is>
          <t>No</t>
        </is>
      </c>
      <c r="U143" t="n">
        <v>54</v>
      </c>
      <c r="V143" t="inlineStr">
        <is>
          <t>Failed</t>
        </is>
      </c>
      <c r="W143" t="n">
        <v>4</v>
      </c>
      <c r="X143" t="inlineStr">
        <is>
          <t>Address Error</t>
        </is>
      </c>
    </row>
    <row r="144">
      <c r="A144" t="inlineStr">
        <is>
          <t>ORD-2026-00143</t>
        </is>
      </c>
      <c r="B144" t="inlineStr">
        <is>
          <t>CUST-0191</t>
        </is>
      </c>
      <c r="C144" s="3" t="n">
        <v>46044</v>
      </c>
      <c r="D144" s="3" t="n">
        <v>46045</v>
      </c>
      <c r="E144" s="3" t="n">
        <v>46047</v>
      </c>
      <c r="F144" t="inlineStr">
        <is>
          <t>Jaipur</t>
        </is>
      </c>
      <c r="G144" t="inlineStr">
        <is>
          <t>Surat</t>
        </is>
      </c>
      <c r="H144" t="inlineStr">
        <is>
          <t>DTDC</t>
        </is>
      </c>
      <c r="I144" t="inlineStr">
        <is>
          <t>Van</t>
        </is>
      </c>
      <c r="J144" t="inlineStr">
        <is>
          <t>Low</t>
        </is>
      </c>
      <c r="K144" t="inlineStr">
        <is>
          <t>Delivered</t>
        </is>
      </c>
      <c r="L144" t="n">
        <v>82.22</v>
      </c>
      <c r="M144" t="n">
        <v>925</v>
      </c>
      <c r="N144" t="n">
        <v>38.64</v>
      </c>
      <c r="O144" t="n">
        <v>117.82</v>
      </c>
      <c r="P144" t="n">
        <v>696.84</v>
      </c>
      <c r="Q144">
        <f>ROUND(L144*M144*N144/1000+O144+P144,2)</f>
        <v/>
      </c>
      <c r="R144" t="inlineStr">
        <is>
          <t>No</t>
        </is>
      </c>
      <c r="S144">
        <f>IF(OR(E144="",D144=""),"",MAX(0,E144-D144))</f>
        <v/>
      </c>
      <c r="T144" t="inlineStr">
        <is>
          <t>No</t>
        </is>
      </c>
      <c r="U144" t="n">
        <v>70</v>
      </c>
      <c r="V144" t="inlineStr">
        <is>
          <t>COD</t>
        </is>
      </c>
      <c r="W144" t="n">
        <v>5</v>
      </c>
      <c r="X144" t="inlineStr">
        <is>
          <t>Customer Unavailable</t>
        </is>
      </c>
    </row>
    <row r="145">
      <c r="A145" t="inlineStr">
        <is>
          <t>ORD-2026-00144</t>
        </is>
      </c>
      <c r="B145" t="inlineStr">
        <is>
          <t>CUST-0077</t>
        </is>
      </c>
      <c r="C145" s="3" t="n">
        <v>46216</v>
      </c>
      <c r="D145" s="3" t="n">
        <v>46217</v>
      </c>
      <c r="E145" s="3" t="n">
        <v>46219</v>
      </c>
      <c r="F145" t="inlineStr">
        <is>
          <t>Ahmedabad</t>
        </is>
      </c>
      <c r="G145" t="inlineStr">
        <is>
          <t>Jaipur</t>
        </is>
      </c>
      <c r="H145" t="inlineStr">
        <is>
          <t>FedEx</t>
        </is>
      </c>
      <c r="I145" t="inlineStr">
        <is>
          <t>Refrigerated Truck</t>
        </is>
      </c>
      <c r="J145" t="inlineStr">
        <is>
          <t>Low</t>
        </is>
      </c>
      <c r="K145" t="inlineStr">
        <is>
          <t>Delivered</t>
        </is>
      </c>
      <c r="L145" t="n">
        <v>546.75</v>
      </c>
      <c r="M145" t="n">
        <v>1746</v>
      </c>
      <c r="N145" t="n">
        <v>13.84</v>
      </c>
      <c r="O145" t="n">
        <v>1054.38</v>
      </c>
      <c r="P145" t="n">
        <v>1131.99</v>
      </c>
      <c r="Q145">
        <f>ROUND(L145*M145*N145/1000+O145+P145,2)</f>
        <v/>
      </c>
      <c r="R145" t="inlineStr">
        <is>
          <t>No</t>
        </is>
      </c>
      <c r="S145">
        <f>IF(OR(E145="",D145=""),"",MAX(0,E145-D145))</f>
        <v/>
      </c>
      <c r="T145" t="inlineStr">
        <is>
          <t>No</t>
        </is>
      </c>
      <c r="U145" t="n">
        <v>16</v>
      </c>
      <c r="V145" t="inlineStr">
        <is>
          <t>Pending</t>
        </is>
      </c>
      <c r="W145" t="n">
        <v>2</v>
      </c>
      <c r="X145" t="inlineStr">
        <is>
          <t>Customer Unavailable</t>
        </is>
      </c>
    </row>
    <row r="146">
      <c r="A146" t="inlineStr">
        <is>
          <t>ORD-2026-00145</t>
        </is>
      </c>
      <c r="B146" t="inlineStr">
        <is>
          <t>CUST-0016</t>
        </is>
      </c>
      <c r="C146" s="3" t="n">
        <v>46211</v>
      </c>
      <c r="D146" s="3" t="n">
        <v>46217</v>
      </c>
      <c r="E146" s="3" t="n">
        <v>46220</v>
      </c>
      <c r="F146" t="inlineStr">
        <is>
          <t>Kolkata</t>
        </is>
      </c>
      <c r="G146" t="inlineStr">
        <is>
          <t>Hyderabad</t>
        </is>
      </c>
      <c r="H146" t="inlineStr">
        <is>
          <t>DTDC</t>
        </is>
      </c>
      <c r="I146" t="inlineStr">
        <is>
          <t>Refrigerated Truck</t>
        </is>
      </c>
      <c r="J146" t="inlineStr">
        <is>
          <t>Normal</t>
        </is>
      </c>
      <c r="K146" t="inlineStr">
        <is>
          <t>Delivered</t>
        </is>
      </c>
      <c r="L146" t="n">
        <v>1070.7</v>
      </c>
      <c r="M146" t="n">
        <v>2528</v>
      </c>
      <c r="N146" t="n">
        <v>15.94</v>
      </c>
      <c r="O146" t="n">
        <v>1829.24</v>
      </c>
      <c r="P146" t="n">
        <v>326.28</v>
      </c>
      <c r="Q146">
        <f>ROUND(L146*M146*N146/1000+O146+P146,2)</f>
        <v/>
      </c>
      <c r="R146" t="inlineStr">
        <is>
          <t>No</t>
        </is>
      </c>
      <c r="S146">
        <f>IF(OR(E146="",D146=""),"",MAX(0,E146-D146))</f>
        <v/>
      </c>
      <c r="T146" t="inlineStr">
        <is>
          <t>No</t>
        </is>
      </c>
      <c r="U146" t="n">
        <v>38</v>
      </c>
      <c r="V146" t="inlineStr">
        <is>
          <t>COD</t>
        </is>
      </c>
      <c r="W146" t="n">
        <v>5</v>
      </c>
      <c r="X146" t="inlineStr">
        <is>
          <t>Vehicle Breakdown</t>
        </is>
      </c>
    </row>
    <row r="147">
      <c r="A147" t="inlineStr">
        <is>
          <t>ORD-2026-00146</t>
        </is>
      </c>
      <c r="B147" t="inlineStr">
        <is>
          <t>CUST-0222</t>
        </is>
      </c>
      <c r="C147" s="3" t="n">
        <v>46242</v>
      </c>
      <c r="D147" s="3" t="n">
        <v>46244</v>
      </c>
      <c r="E147" s="3" t="n">
        <v>46244</v>
      </c>
      <c r="F147" t="inlineStr">
        <is>
          <t>Delhi</t>
        </is>
      </c>
      <c r="G147" t="inlineStr">
        <is>
          <t>Bengaluru</t>
        </is>
      </c>
      <c r="H147" t="inlineStr">
        <is>
          <t>DHL</t>
        </is>
      </c>
      <c r="I147" t="inlineStr">
        <is>
          <t>Refrigerated Truck</t>
        </is>
      </c>
      <c r="J147" t="inlineStr">
        <is>
          <t>Normal</t>
        </is>
      </c>
      <c r="K147" t="inlineStr">
        <is>
          <t>Delivered</t>
        </is>
      </c>
      <c r="L147" t="n">
        <v>1029.28</v>
      </c>
      <c r="M147" t="n">
        <v>247</v>
      </c>
      <c r="N147" t="n">
        <v>64.56999999999999</v>
      </c>
      <c r="O147" t="n">
        <v>1346.47</v>
      </c>
      <c r="P147" t="n">
        <v>207.79</v>
      </c>
      <c r="Q147">
        <f>ROUND(L147*M147*N147/1000+O147+P147,2)</f>
        <v/>
      </c>
      <c r="R147" t="inlineStr">
        <is>
          <t>Yes</t>
        </is>
      </c>
      <c r="S147">
        <f>IF(OR(E147="",D147=""),"",MAX(0,E147-D147))</f>
        <v/>
      </c>
      <c r="T147" t="inlineStr">
        <is>
          <t>No</t>
        </is>
      </c>
      <c r="U147" t="n">
        <v>63</v>
      </c>
      <c r="V147" t="inlineStr">
        <is>
          <t>Pending</t>
        </is>
      </c>
      <c r="W147" t="n">
        <v>5</v>
      </c>
      <c r="X147" t="inlineStr">
        <is>
          <t>Damaged Package</t>
        </is>
      </c>
    </row>
    <row r="148">
      <c r="A148" t="inlineStr">
        <is>
          <t>ORD-2026-00147</t>
        </is>
      </c>
      <c r="B148" t="inlineStr">
        <is>
          <t>CUST-0125</t>
        </is>
      </c>
      <c r="C148" s="3" t="n">
        <v>46091</v>
      </c>
      <c r="D148" s="3" t="n">
        <v>46098</v>
      </c>
      <c r="E148" s="3" t="n"/>
      <c r="F148" t="inlineStr">
        <is>
          <t>Hyderabad</t>
        </is>
      </c>
      <c r="G148" t="inlineStr">
        <is>
          <t>Kolkata</t>
        </is>
      </c>
      <c r="H148" t="inlineStr">
        <is>
          <t>BlueDart</t>
        </is>
      </c>
      <c r="I148" t="inlineStr">
        <is>
          <t>Van</t>
        </is>
      </c>
      <c r="J148" t="inlineStr">
        <is>
          <t>Critical</t>
        </is>
      </c>
      <c r="K148" t="inlineStr">
        <is>
          <t>In Transit</t>
        </is>
      </c>
      <c r="L148" t="n">
        <v>1007.43</v>
      </c>
      <c r="M148" t="n">
        <v>1144</v>
      </c>
      <c r="N148" t="n">
        <v>47.6</v>
      </c>
      <c r="O148" t="n">
        <v>4533.49</v>
      </c>
      <c r="P148" t="n">
        <v>692.95</v>
      </c>
      <c r="Q148">
        <f>ROUND(L148*M148*N148/1000+O148+P148,2)</f>
        <v/>
      </c>
      <c r="R148" t="inlineStr">
        <is>
          <t>No</t>
        </is>
      </c>
      <c r="S148">
        <f>IF(OR(E148="",D148=""),"",MAX(0,E148-D148))</f>
        <v/>
      </c>
      <c r="T148" t="inlineStr">
        <is>
          <t>No</t>
        </is>
      </c>
      <c r="U148" t="n">
        <v>9</v>
      </c>
      <c r="V148" t="inlineStr">
        <is>
          <t>Failed</t>
        </is>
      </c>
      <c r="W148" t="n">
        <v>2</v>
      </c>
      <c r="X148" t="inlineStr">
        <is>
          <t>Weather</t>
        </is>
      </c>
    </row>
    <row r="149">
      <c r="A149" t="inlineStr">
        <is>
          <t>ORD-2026-00148</t>
        </is>
      </c>
      <c r="B149" t="inlineStr">
        <is>
          <t>CUST-0088</t>
        </is>
      </c>
      <c r="C149" s="3" t="n">
        <v>46234</v>
      </c>
      <c r="D149" s="3" t="n">
        <v>46238</v>
      </c>
      <c r="E149" s="3" t="n">
        <v>46238</v>
      </c>
      <c r="F149" t="inlineStr">
        <is>
          <t>Ahmedabad</t>
        </is>
      </c>
      <c r="G149" t="inlineStr">
        <is>
          <t>Ahmedabad</t>
        </is>
      </c>
      <c r="H149" t="inlineStr">
        <is>
          <t>BlueDart</t>
        </is>
      </c>
      <c r="I149" t="inlineStr">
        <is>
          <t>Container</t>
        </is>
      </c>
      <c r="J149" t="inlineStr">
        <is>
          <t>Low</t>
        </is>
      </c>
      <c r="K149" t="inlineStr">
        <is>
          <t>Delivered</t>
        </is>
      </c>
      <c r="L149" t="n">
        <v>709.34</v>
      </c>
      <c r="M149" t="n">
        <v>2246</v>
      </c>
      <c r="N149" t="n">
        <v>40.94</v>
      </c>
      <c r="O149" t="n">
        <v>4172.33</v>
      </c>
      <c r="P149" t="n">
        <v>738.3</v>
      </c>
      <c r="Q149">
        <f>ROUND(L149*M149*N149/1000+O149+P149,2)</f>
        <v/>
      </c>
      <c r="R149" t="inlineStr">
        <is>
          <t>Yes</t>
        </is>
      </c>
      <c r="S149">
        <f>IF(OR(E149="",D149=""),"",MAX(0,E149-D149))</f>
        <v/>
      </c>
      <c r="T149" t="inlineStr">
        <is>
          <t>Yes</t>
        </is>
      </c>
      <c r="U149" t="n">
        <v>21</v>
      </c>
      <c r="V149" t="inlineStr">
        <is>
          <t>Failed</t>
        </is>
      </c>
      <c r="W149" t="n">
        <v>4</v>
      </c>
      <c r="X149" t="inlineStr">
        <is>
          <t>None</t>
        </is>
      </c>
    </row>
    <row r="150">
      <c r="A150" t="inlineStr">
        <is>
          <t>ORD-2026-00149</t>
        </is>
      </c>
      <c r="B150" t="inlineStr">
        <is>
          <t>CUST-0168</t>
        </is>
      </c>
      <c r="C150" s="3" t="n">
        <v>46132</v>
      </c>
      <c r="D150" s="3" t="n">
        <v>46136</v>
      </c>
      <c r="E150" s="3" t="n">
        <v>46146</v>
      </c>
      <c r="F150" t="inlineStr">
        <is>
          <t>Hyderabad</t>
        </is>
      </c>
      <c r="G150" t="inlineStr">
        <is>
          <t>Pune</t>
        </is>
      </c>
      <c r="H150" t="inlineStr">
        <is>
          <t>BlueDart</t>
        </is>
      </c>
      <c r="I150" t="inlineStr">
        <is>
          <t>Refrigerated Truck</t>
        </is>
      </c>
      <c r="J150" t="inlineStr">
        <is>
          <t>Normal</t>
        </is>
      </c>
      <c r="K150" t="inlineStr">
        <is>
          <t>Delivered</t>
        </is>
      </c>
      <c r="L150" t="n">
        <v>2205.43</v>
      </c>
      <c r="M150" t="n">
        <v>1241</v>
      </c>
      <c r="N150" t="n">
        <v>17.06</v>
      </c>
      <c r="O150" t="n">
        <v>4013.82</v>
      </c>
      <c r="P150" t="n">
        <v>425.55</v>
      </c>
      <c r="Q150">
        <f>ROUND(L150*M150*N150/1000+O150+P150,2)</f>
        <v/>
      </c>
      <c r="R150" t="inlineStr">
        <is>
          <t>No</t>
        </is>
      </c>
      <c r="S150">
        <f>IF(OR(E150="",D150=""),"",MAX(0,E150-D150))</f>
        <v/>
      </c>
      <c r="T150" t="inlineStr">
        <is>
          <t>Yes</t>
        </is>
      </c>
      <c r="U150" t="n">
        <v>51</v>
      </c>
      <c r="V150" t="inlineStr">
        <is>
          <t>COD</t>
        </is>
      </c>
      <c r="W150" t="n">
        <v>2</v>
      </c>
      <c r="X150" t="inlineStr">
        <is>
          <t>Weather</t>
        </is>
      </c>
    </row>
    <row r="151">
      <c r="A151" t="inlineStr">
        <is>
          <t>ORD-2026-00150</t>
        </is>
      </c>
      <c r="B151" t="inlineStr">
        <is>
          <t>CUST-0179</t>
        </is>
      </c>
      <c r="C151" s="3" t="n">
        <v>46190</v>
      </c>
      <c r="D151" s="3" t="n">
        <v>46192</v>
      </c>
      <c r="E151" s="3" t="n"/>
      <c r="F151" t="inlineStr">
        <is>
          <t>Hyderabad</t>
        </is>
      </c>
      <c r="G151" t="inlineStr">
        <is>
          <t>Mumbai</t>
        </is>
      </c>
      <c r="H151" t="inlineStr">
        <is>
          <t>Aramex</t>
        </is>
      </c>
      <c r="I151" t="inlineStr">
        <is>
          <t>Container</t>
        </is>
      </c>
      <c r="J151" t="inlineStr">
        <is>
          <t>Normal</t>
        </is>
      </c>
      <c r="K151" t="inlineStr">
        <is>
          <t>Exception</t>
        </is>
      </c>
      <c r="L151" t="n">
        <v>195.31</v>
      </c>
      <c r="M151" t="n">
        <v>2436</v>
      </c>
      <c r="N151" t="n">
        <v>20.89</v>
      </c>
      <c r="O151" t="n">
        <v>703.67</v>
      </c>
      <c r="P151" t="n">
        <v>33.74</v>
      </c>
      <c r="Q151">
        <f>ROUND(L151*M151*N151/1000+O151+P151,2)</f>
        <v/>
      </c>
      <c r="R151" t="inlineStr">
        <is>
          <t>No</t>
        </is>
      </c>
      <c r="S151">
        <f>IF(OR(E151="",D151=""),"",MAX(0,E151-D151))</f>
        <v/>
      </c>
      <c r="T151" t="inlineStr">
        <is>
          <t>No</t>
        </is>
      </c>
      <c r="U151" t="n">
        <v>10</v>
      </c>
      <c r="V151" t="inlineStr">
        <is>
          <t>Pending</t>
        </is>
      </c>
      <c r="W151" t="n">
        <v>4</v>
      </c>
      <c r="X151" t="inlineStr">
        <is>
          <t>None</t>
        </is>
      </c>
    </row>
    <row r="152">
      <c r="A152" t="inlineStr">
        <is>
          <t>ORD-2026-00151</t>
        </is>
      </c>
      <c r="B152" t="inlineStr">
        <is>
          <t>CUST-0174</t>
        </is>
      </c>
      <c r="C152" s="3" t="n">
        <v>46210</v>
      </c>
      <c r="D152" s="3" t="n">
        <v>46212</v>
      </c>
      <c r="E152" s="3" t="n">
        <v>46212</v>
      </c>
      <c r="F152" t="inlineStr">
        <is>
          <t>Delhi</t>
        </is>
      </c>
      <c r="G152" t="inlineStr">
        <is>
          <t>Mumbai</t>
        </is>
      </c>
      <c r="H152" t="inlineStr">
        <is>
          <t>DTDC</t>
        </is>
      </c>
      <c r="I152" t="inlineStr">
        <is>
          <t>Bike</t>
        </is>
      </c>
      <c r="J152" t="inlineStr">
        <is>
          <t>Low</t>
        </is>
      </c>
      <c r="K152" t="inlineStr">
        <is>
          <t>Delivered</t>
        </is>
      </c>
      <c r="L152" t="n">
        <v>748.49</v>
      </c>
      <c r="M152" t="n">
        <v>1572</v>
      </c>
      <c r="N152" t="n">
        <v>52.09</v>
      </c>
      <c r="O152" t="n">
        <v>4608.4</v>
      </c>
      <c r="P152" t="n">
        <v>217.06</v>
      </c>
      <c r="Q152">
        <f>ROUND(L152*M152*N152/1000+O152+P152,2)</f>
        <v/>
      </c>
      <c r="R152" t="inlineStr">
        <is>
          <t>Yes</t>
        </is>
      </c>
      <c r="S152">
        <f>IF(OR(E152="",D152=""),"",MAX(0,E152-D152))</f>
        <v/>
      </c>
      <c r="T152" t="inlineStr">
        <is>
          <t>Yes</t>
        </is>
      </c>
      <c r="U152" t="n">
        <v>57</v>
      </c>
      <c r="V152" t="inlineStr">
        <is>
          <t>COD</t>
        </is>
      </c>
      <c r="W152" t="n">
        <v>2</v>
      </c>
      <c r="X152" t="inlineStr">
        <is>
          <t>Damaged Package</t>
        </is>
      </c>
    </row>
    <row r="153">
      <c r="A153" t="inlineStr">
        <is>
          <t>ORD-2026-00152</t>
        </is>
      </c>
      <c r="B153" t="inlineStr">
        <is>
          <t>CUST-0151</t>
        </is>
      </c>
      <c r="C153" s="3" t="n">
        <v>46214</v>
      </c>
      <c r="D153" s="3" t="n">
        <v>46217</v>
      </c>
      <c r="E153" s="3" t="n">
        <v>46222</v>
      </c>
      <c r="F153" t="inlineStr">
        <is>
          <t>Chennai</t>
        </is>
      </c>
      <c r="G153" t="inlineStr">
        <is>
          <t>Hyderabad</t>
        </is>
      </c>
      <c r="H153" t="inlineStr">
        <is>
          <t>Delhivery</t>
        </is>
      </c>
      <c r="I153" t="inlineStr">
        <is>
          <t>Refrigerated Truck</t>
        </is>
      </c>
      <c r="J153" t="inlineStr">
        <is>
          <t>Normal</t>
        </is>
      </c>
      <c r="K153" t="inlineStr">
        <is>
          <t>Delivered</t>
        </is>
      </c>
      <c r="L153" t="n">
        <v>1106.24</v>
      </c>
      <c r="M153" t="n">
        <v>894</v>
      </c>
      <c r="N153" t="n">
        <v>12.94</v>
      </c>
      <c r="O153" t="n">
        <v>461.06</v>
      </c>
      <c r="P153" t="n">
        <v>1133.62</v>
      </c>
      <c r="Q153">
        <f>ROUND(L153*M153*N153/1000+O153+P153,2)</f>
        <v/>
      </c>
      <c r="R153" t="inlineStr">
        <is>
          <t>No</t>
        </is>
      </c>
      <c r="S153">
        <f>IF(OR(E153="",D153=""),"",MAX(0,E153-D153))</f>
        <v/>
      </c>
      <c r="T153" t="inlineStr">
        <is>
          <t>Yes</t>
        </is>
      </c>
      <c r="U153" t="n">
        <v>36</v>
      </c>
      <c r="V153" t="inlineStr">
        <is>
          <t>Paid</t>
        </is>
      </c>
      <c r="W153" t="n">
        <v>2</v>
      </c>
      <c r="X153" t="inlineStr">
        <is>
          <t>Customs</t>
        </is>
      </c>
    </row>
    <row r="154">
      <c r="A154" t="inlineStr">
        <is>
          <t>ORD-2026-00153</t>
        </is>
      </c>
      <c r="B154" t="inlineStr">
        <is>
          <t>CUST-0049</t>
        </is>
      </c>
      <c r="C154" s="3" t="n">
        <v>46176</v>
      </c>
      <c r="D154" s="3" t="n">
        <v>46181</v>
      </c>
      <c r="E154" s="3" t="n">
        <v>46183</v>
      </c>
      <c r="F154" t="inlineStr">
        <is>
          <t>Chennai</t>
        </is>
      </c>
      <c r="G154" t="inlineStr">
        <is>
          <t>Pune</t>
        </is>
      </c>
      <c r="H154" t="inlineStr">
        <is>
          <t>Maersk</t>
        </is>
      </c>
      <c r="I154" t="inlineStr">
        <is>
          <t>Van</t>
        </is>
      </c>
      <c r="J154" t="inlineStr">
        <is>
          <t>Normal</t>
        </is>
      </c>
      <c r="K154" t="inlineStr">
        <is>
          <t>Delivered</t>
        </is>
      </c>
      <c r="L154" t="n">
        <v>2119.81</v>
      </c>
      <c r="M154" t="n">
        <v>2701</v>
      </c>
      <c r="N154" t="n">
        <v>57.92</v>
      </c>
      <c r="O154" t="n">
        <v>14036.7</v>
      </c>
      <c r="P154" t="n">
        <v>918.25</v>
      </c>
      <c r="Q154">
        <f>ROUND(L154*M154*N154/1000+O154+P154,2)</f>
        <v/>
      </c>
      <c r="R154" t="inlineStr">
        <is>
          <t>No</t>
        </is>
      </c>
      <c r="S154">
        <f>IF(OR(E154="",D154=""),"",MAX(0,E154-D154))</f>
        <v/>
      </c>
      <c r="T154" t="inlineStr">
        <is>
          <t>No</t>
        </is>
      </c>
      <c r="U154" t="n">
        <v>50</v>
      </c>
      <c r="V154" t="inlineStr">
        <is>
          <t>Paid</t>
        </is>
      </c>
      <c r="W154" t="n">
        <v>2</v>
      </c>
      <c r="X154" t="inlineStr">
        <is>
          <t>Weather</t>
        </is>
      </c>
    </row>
    <row r="155">
      <c r="A155" t="inlineStr">
        <is>
          <t>ORD-2026-00154</t>
        </is>
      </c>
      <c r="B155" t="inlineStr">
        <is>
          <t>CUST-0094</t>
        </is>
      </c>
      <c r="C155" s="3" t="n">
        <v>46186</v>
      </c>
      <c r="D155" s="3" t="n">
        <v>46188</v>
      </c>
      <c r="E155" s="3" t="n">
        <v>46188</v>
      </c>
      <c r="F155" t="inlineStr">
        <is>
          <t>Surat</t>
        </is>
      </c>
      <c r="G155" t="inlineStr">
        <is>
          <t>Delhi</t>
        </is>
      </c>
      <c r="H155" t="inlineStr">
        <is>
          <t>Aramex</t>
        </is>
      </c>
      <c r="I155" t="inlineStr">
        <is>
          <t>Container</t>
        </is>
      </c>
      <c r="J155" t="inlineStr">
        <is>
          <t>Low</t>
        </is>
      </c>
      <c r="K155" t="inlineStr">
        <is>
          <t>Delivered</t>
        </is>
      </c>
      <c r="L155" t="n">
        <v>2467.21</v>
      </c>
      <c r="M155" t="n">
        <v>1301</v>
      </c>
      <c r="N155" t="n">
        <v>15.52</v>
      </c>
      <c r="O155" t="n">
        <v>4067.48</v>
      </c>
      <c r="P155" t="n">
        <v>861.2</v>
      </c>
      <c r="Q155">
        <f>ROUND(L155*M155*N155/1000+O155+P155,2)</f>
        <v/>
      </c>
      <c r="R155" t="inlineStr">
        <is>
          <t>Yes</t>
        </is>
      </c>
      <c r="S155">
        <f>IF(OR(E155="",D155=""),"",MAX(0,E155-D155))</f>
        <v/>
      </c>
      <c r="T155" t="inlineStr">
        <is>
          <t>Yes</t>
        </is>
      </c>
      <c r="U155" t="n">
        <v>76</v>
      </c>
      <c r="V155" t="inlineStr">
        <is>
          <t>Paid</t>
        </is>
      </c>
      <c r="W155" t="n">
        <v>1</v>
      </c>
      <c r="X155" t="inlineStr">
        <is>
          <t>Vehicle Breakdown</t>
        </is>
      </c>
    </row>
    <row r="156">
      <c r="A156" t="inlineStr">
        <is>
          <t>ORD-2026-00155</t>
        </is>
      </c>
      <c r="B156" t="inlineStr">
        <is>
          <t>CUST-0180</t>
        </is>
      </c>
      <c r="C156" s="3" t="n">
        <v>46078</v>
      </c>
      <c r="D156" s="3" t="n">
        <v>46079</v>
      </c>
      <c r="E156" s="3" t="n">
        <v>46084</v>
      </c>
      <c r="F156" t="inlineStr">
        <is>
          <t>Chennai</t>
        </is>
      </c>
      <c r="G156" t="inlineStr">
        <is>
          <t>Mumbai</t>
        </is>
      </c>
      <c r="H156" t="inlineStr">
        <is>
          <t>Maersk</t>
        </is>
      </c>
      <c r="I156" t="inlineStr">
        <is>
          <t>Bike</t>
        </is>
      </c>
      <c r="J156" t="inlineStr">
        <is>
          <t>Normal</t>
        </is>
      </c>
      <c r="K156" t="inlineStr">
        <is>
          <t>Delivered</t>
        </is>
      </c>
      <c r="L156" t="n">
        <v>995.24</v>
      </c>
      <c r="M156" t="n">
        <v>1178</v>
      </c>
      <c r="N156" t="n">
        <v>43.83</v>
      </c>
      <c r="O156" t="n">
        <v>3086.39</v>
      </c>
      <c r="P156" t="n">
        <v>634.84</v>
      </c>
      <c r="Q156">
        <f>ROUND(L156*M156*N156/1000+O156+P156,2)</f>
        <v/>
      </c>
      <c r="R156" t="inlineStr">
        <is>
          <t>No</t>
        </is>
      </c>
      <c r="S156">
        <f>IF(OR(E156="",D156=""),"",MAX(0,E156-D156))</f>
        <v/>
      </c>
      <c r="T156" t="inlineStr">
        <is>
          <t>No</t>
        </is>
      </c>
      <c r="U156" t="n">
        <v>11</v>
      </c>
      <c r="V156" t="inlineStr">
        <is>
          <t>COD</t>
        </is>
      </c>
      <c r="W156" t="n">
        <v>1</v>
      </c>
      <c r="X156" t="inlineStr">
        <is>
          <t>Customs</t>
        </is>
      </c>
    </row>
    <row r="157">
      <c r="A157" t="inlineStr">
        <is>
          <t>ORD-2026-00156</t>
        </is>
      </c>
      <c r="B157" t="inlineStr">
        <is>
          <t>CUST-0187</t>
        </is>
      </c>
      <c r="C157" s="3" t="n">
        <v>46075</v>
      </c>
      <c r="D157" s="3" t="n">
        <v>46078</v>
      </c>
      <c r="E157" s="3" t="n">
        <v>46078</v>
      </c>
      <c r="F157" t="inlineStr">
        <is>
          <t>Bengaluru</t>
        </is>
      </c>
      <c r="G157" t="inlineStr">
        <is>
          <t>Ahmedabad</t>
        </is>
      </c>
      <c r="H157" t="inlineStr">
        <is>
          <t>DHL</t>
        </is>
      </c>
      <c r="I157" t="inlineStr">
        <is>
          <t>Van</t>
        </is>
      </c>
      <c r="J157" t="inlineStr">
        <is>
          <t>Critical</t>
        </is>
      </c>
      <c r="K157" t="inlineStr">
        <is>
          <t>Delivered</t>
        </is>
      </c>
      <c r="L157" t="n">
        <v>1585.92</v>
      </c>
      <c r="M157" t="n">
        <v>2666</v>
      </c>
      <c r="N157" t="n">
        <v>46.82</v>
      </c>
      <c r="O157" t="n">
        <v>6724.02</v>
      </c>
      <c r="P157" t="n">
        <v>1054.04</v>
      </c>
      <c r="Q157">
        <f>ROUND(L157*M157*N157/1000+O157+P157,2)</f>
        <v/>
      </c>
      <c r="R157" t="inlineStr">
        <is>
          <t>Yes</t>
        </is>
      </c>
      <c r="S157">
        <f>IF(OR(E157="",D157=""),"",MAX(0,E157-D157))</f>
        <v/>
      </c>
      <c r="T157" t="inlineStr">
        <is>
          <t>Yes</t>
        </is>
      </c>
      <c r="U157" t="n">
        <v>59</v>
      </c>
      <c r="V157" t="inlineStr">
        <is>
          <t>Paid</t>
        </is>
      </c>
      <c r="W157" t="n">
        <v>3</v>
      </c>
      <c r="X157" t="inlineStr">
        <is>
          <t>Damaged Package</t>
        </is>
      </c>
    </row>
    <row r="158">
      <c r="A158" t="inlineStr">
        <is>
          <t>ORD-2026-00157</t>
        </is>
      </c>
      <c r="B158" t="inlineStr">
        <is>
          <t>CUST-0211</t>
        </is>
      </c>
      <c r="C158" s="3" t="n">
        <v>46212</v>
      </c>
      <c r="D158" s="3" t="n">
        <v>46215</v>
      </c>
      <c r="E158" s="3" t="n">
        <v>46215</v>
      </c>
      <c r="F158" t="inlineStr">
        <is>
          <t>Pune</t>
        </is>
      </c>
      <c r="G158" t="inlineStr">
        <is>
          <t>Delhi</t>
        </is>
      </c>
      <c r="H158" t="inlineStr">
        <is>
          <t>FedEx</t>
        </is>
      </c>
      <c r="I158" t="inlineStr">
        <is>
          <t>Truck</t>
        </is>
      </c>
      <c r="J158" t="inlineStr">
        <is>
          <t>High</t>
        </is>
      </c>
      <c r="K158" t="inlineStr">
        <is>
          <t>Delivered</t>
        </is>
      </c>
      <c r="L158" t="n">
        <v>1753.9</v>
      </c>
      <c r="M158" t="n">
        <v>676</v>
      </c>
      <c r="N158" t="n">
        <v>36.3</v>
      </c>
      <c r="O158" t="n">
        <v>2186.46</v>
      </c>
      <c r="P158" t="n">
        <v>785.49</v>
      </c>
      <c r="Q158">
        <f>ROUND(L158*M158*N158/1000+O158+P158,2)</f>
        <v/>
      </c>
      <c r="R158" t="inlineStr">
        <is>
          <t>Yes</t>
        </is>
      </c>
      <c r="S158">
        <f>IF(OR(E158="",D158=""),"",MAX(0,E158-D158))</f>
        <v/>
      </c>
      <c r="T158" t="inlineStr">
        <is>
          <t>Yes</t>
        </is>
      </c>
      <c r="U158" t="n">
        <v>4</v>
      </c>
      <c r="V158" t="inlineStr">
        <is>
          <t>COD</t>
        </is>
      </c>
      <c r="W158" t="n">
        <v>4</v>
      </c>
      <c r="X158" t="inlineStr">
        <is>
          <t>Vehicle Breakdown</t>
        </is>
      </c>
    </row>
    <row r="159">
      <c r="A159" t="inlineStr">
        <is>
          <t>ORD-2026-00158</t>
        </is>
      </c>
      <c r="B159" t="inlineStr">
        <is>
          <t>CUST-0146</t>
        </is>
      </c>
      <c r="C159" s="3" t="n">
        <v>46157</v>
      </c>
      <c r="D159" s="3" t="n">
        <v>46159</v>
      </c>
      <c r="E159" s="3" t="n">
        <v>46159</v>
      </c>
      <c r="F159" t="inlineStr">
        <is>
          <t>Delhi</t>
        </is>
      </c>
      <c r="G159" t="inlineStr">
        <is>
          <t>Hyderabad</t>
        </is>
      </c>
      <c r="H159" t="inlineStr">
        <is>
          <t>DHL</t>
        </is>
      </c>
      <c r="I159" t="inlineStr">
        <is>
          <t>Refrigerated Truck</t>
        </is>
      </c>
      <c r="J159" t="inlineStr">
        <is>
          <t>Low</t>
        </is>
      </c>
      <c r="K159" t="inlineStr">
        <is>
          <t>Delivered</t>
        </is>
      </c>
      <c r="L159" t="n">
        <v>1569.02</v>
      </c>
      <c r="M159" t="n">
        <v>2037</v>
      </c>
      <c r="N159" t="n">
        <v>33.95</v>
      </c>
      <c r="O159" t="n">
        <v>5599.79</v>
      </c>
      <c r="P159" t="n">
        <v>759.42</v>
      </c>
      <c r="Q159">
        <f>ROUND(L159*M159*N159/1000+O159+P159,2)</f>
        <v/>
      </c>
      <c r="R159" t="inlineStr">
        <is>
          <t>Yes</t>
        </is>
      </c>
      <c r="S159">
        <f>IF(OR(E159="",D159=""),"",MAX(0,E159-D159))</f>
        <v/>
      </c>
      <c r="T159" t="inlineStr">
        <is>
          <t>Yes</t>
        </is>
      </c>
      <c r="U159" t="n">
        <v>30</v>
      </c>
      <c r="V159" t="inlineStr">
        <is>
          <t>Paid</t>
        </is>
      </c>
      <c r="W159" t="n">
        <v>1</v>
      </c>
      <c r="X159" t="inlineStr">
        <is>
          <t>Customer Unavailable</t>
        </is>
      </c>
    </row>
    <row r="160">
      <c r="A160" t="inlineStr">
        <is>
          <t>ORD-2026-00159</t>
        </is>
      </c>
      <c r="B160" t="inlineStr">
        <is>
          <t>CUST-0206</t>
        </is>
      </c>
      <c r="C160" s="3" t="n">
        <v>46243</v>
      </c>
      <c r="D160" s="3" t="n">
        <v>46244</v>
      </c>
      <c r="E160" s="3" t="n">
        <v>46244</v>
      </c>
      <c r="F160" t="inlineStr">
        <is>
          <t>Chennai</t>
        </is>
      </c>
      <c r="G160" t="inlineStr">
        <is>
          <t>Bengaluru</t>
        </is>
      </c>
      <c r="H160" t="inlineStr">
        <is>
          <t>FedEx</t>
        </is>
      </c>
      <c r="I160" t="inlineStr">
        <is>
          <t>Truck</t>
        </is>
      </c>
      <c r="J160" t="inlineStr">
        <is>
          <t>Critical</t>
        </is>
      </c>
      <c r="K160" t="inlineStr">
        <is>
          <t>Delivered</t>
        </is>
      </c>
      <c r="L160" t="n">
        <v>957.76</v>
      </c>
      <c r="M160" t="n">
        <v>619</v>
      </c>
      <c r="N160" t="n">
        <v>18.2</v>
      </c>
      <c r="O160" t="n">
        <v>945.42</v>
      </c>
      <c r="P160" t="n">
        <v>72.34</v>
      </c>
      <c r="Q160">
        <f>ROUND(L160*M160*N160/1000+O160+P160,2)</f>
        <v/>
      </c>
      <c r="R160" t="inlineStr">
        <is>
          <t>Yes</t>
        </is>
      </c>
      <c r="S160">
        <f>IF(OR(E160="",D160=""),"",MAX(0,E160-D160))</f>
        <v/>
      </c>
      <c r="T160" t="inlineStr">
        <is>
          <t>No</t>
        </is>
      </c>
      <c r="U160" t="n">
        <v>35</v>
      </c>
      <c r="V160" t="inlineStr">
        <is>
          <t>Paid</t>
        </is>
      </c>
      <c r="W160" t="n">
        <v>5</v>
      </c>
      <c r="X160" t="inlineStr">
        <is>
          <t>Vehicle Breakdown</t>
        </is>
      </c>
    </row>
    <row r="161">
      <c r="A161" t="inlineStr">
        <is>
          <t>ORD-2026-00160</t>
        </is>
      </c>
      <c r="B161" t="inlineStr">
        <is>
          <t>CUST-0217</t>
        </is>
      </c>
      <c r="C161" s="3" t="n">
        <v>46053</v>
      </c>
      <c r="D161" s="3" t="n">
        <v>46054</v>
      </c>
      <c r="E161" s="3" t="n">
        <v>46054</v>
      </c>
      <c r="F161" t="inlineStr">
        <is>
          <t>Pune</t>
        </is>
      </c>
      <c r="G161" t="inlineStr">
        <is>
          <t>Hyderabad</t>
        </is>
      </c>
      <c r="H161" t="inlineStr">
        <is>
          <t>BlueDart</t>
        </is>
      </c>
      <c r="I161" t="inlineStr">
        <is>
          <t>Bike</t>
        </is>
      </c>
      <c r="J161" t="inlineStr">
        <is>
          <t>Critical</t>
        </is>
      </c>
      <c r="K161" t="inlineStr">
        <is>
          <t>Delivered</t>
        </is>
      </c>
      <c r="L161" t="n">
        <v>2453.54</v>
      </c>
      <c r="M161" t="n">
        <v>1647</v>
      </c>
      <c r="N161" t="n">
        <v>11.93</v>
      </c>
      <c r="O161" t="n">
        <v>2791.57</v>
      </c>
      <c r="P161" t="n">
        <v>437.81</v>
      </c>
      <c r="Q161">
        <f>ROUND(L161*M161*N161/1000+O161+P161,2)</f>
        <v/>
      </c>
      <c r="R161" t="inlineStr">
        <is>
          <t>Yes</t>
        </is>
      </c>
      <c r="S161">
        <f>IF(OR(E161="",D161=""),"",MAX(0,E161-D161))</f>
        <v/>
      </c>
      <c r="T161" t="inlineStr">
        <is>
          <t>Yes</t>
        </is>
      </c>
      <c r="U161" t="n">
        <v>48</v>
      </c>
      <c r="V161" t="inlineStr">
        <is>
          <t>Pending</t>
        </is>
      </c>
      <c r="W161" t="n">
        <v>3</v>
      </c>
      <c r="X161" t="inlineStr">
        <is>
          <t>Customs</t>
        </is>
      </c>
    </row>
    <row r="162">
      <c r="A162" t="inlineStr">
        <is>
          <t>ORD-2026-00161</t>
        </is>
      </c>
      <c r="B162" t="inlineStr">
        <is>
          <t>CUST-0140</t>
        </is>
      </c>
      <c r="C162" s="3" t="n">
        <v>46223</v>
      </c>
      <c r="D162" s="3" t="n">
        <v>46228</v>
      </c>
      <c r="E162" s="3" t="n">
        <v>46230</v>
      </c>
      <c r="F162" t="inlineStr">
        <is>
          <t>Bengaluru</t>
        </is>
      </c>
      <c r="G162" t="inlineStr">
        <is>
          <t>Delhi</t>
        </is>
      </c>
      <c r="H162" t="inlineStr">
        <is>
          <t>BlueDart</t>
        </is>
      </c>
      <c r="I162" t="inlineStr">
        <is>
          <t>Container</t>
        </is>
      </c>
      <c r="J162" t="inlineStr">
        <is>
          <t>Low</t>
        </is>
      </c>
      <c r="K162" t="inlineStr">
        <is>
          <t>Delivered</t>
        </is>
      </c>
      <c r="L162" t="n">
        <v>921</v>
      </c>
      <c r="M162" t="n">
        <v>2025</v>
      </c>
      <c r="N162" t="n">
        <v>64.87</v>
      </c>
      <c r="O162" t="n">
        <v>9261.719999999999</v>
      </c>
      <c r="P162" t="n">
        <v>1104.05</v>
      </c>
      <c r="Q162">
        <f>ROUND(L162*M162*N162/1000+O162+P162,2)</f>
        <v/>
      </c>
      <c r="R162" t="inlineStr">
        <is>
          <t>No</t>
        </is>
      </c>
      <c r="S162">
        <f>IF(OR(E162="",D162=""),"",MAX(0,E162-D162))</f>
        <v/>
      </c>
      <c r="T162" t="inlineStr">
        <is>
          <t>Yes</t>
        </is>
      </c>
      <c r="U162" t="n">
        <v>70</v>
      </c>
      <c r="V162" t="inlineStr">
        <is>
          <t>COD</t>
        </is>
      </c>
      <c r="W162" t="n">
        <v>1</v>
      </c>
      <c r="X162" t="inlineStr">
        <is>
          <t>Vehicle Breakdown</t>
        </is>
      </c>
    </row>
    <row r="163">
      <c r="A163" t="inlineStr">
        <is>
          <t>ORD-2026-00162</t>
        </is>
      </c>
      <c r="B163" t="inlineStr">
        <is>
          <t>CUST-0249</t>
        </is>
      </c>
      <c r="C163" s="3" t="n">
        <v>46023</v>
      </c>
      <c r="D163" s="3" t="n">
        <v>46030</v>
      </c>
      <c r="E163" s="3" t="n">
        <v>46033</v>
      </c>
      <c r="F163" t="inlineStr">
        <is>
          <t>Delhi</t>
        </is>
      </c>
      <c r="G163" t="inlineStr">
        <is>
          <t>Pune</t>
        </is>
      </c>
      <c r="H163" t="inlineStr">
        <is>
          <t>BlueDart</t>
        </is>
      </c>
      <c r="I163" t="inlineStr">
        <is>
          <t>Van</t>
        </is>
      </c>
      <c r="J163" t="inlineStr">
        <is>
          <t>Normal</t>
        </is>
      </c>
      <c r="K163" t="inlineStr">
        <is>
          <t>Delivered</t>
        </is>
      </c>
      <c r="L163" t="n">
        <v>260.32</v>
      </c>
      <c r="M163" t="n">
        <v>2175</v>
      </c>
      <c r="N163" t="n">
        <v>64.04000000000001</v>
      </c>
      <c r="O163" t="n">
        <v>2001.11</v>
      </c>
      <c r="P163" t="n">
        <v>1442.55</v>
      </c>
      <c r="Q163">
        <f>ROUND(L163*M163*N163/1000+O163+P163,2)</f>
        <v/>
      </c>
      <c r="R163" t="inlineStr">
        <is>
          <t>No</t>
        </is>
      </c>
      <c r="S163">
        <f>IF(OR(E163="",D163=""),"",MAX(0,E163-D163))</f>
        <v/>
      </c>
      <c r="T163" t="inlineStr">
        <is>
          <t>No</t>
        </is>
      </c>
      <c r="U163" t="n">
        <v>48</v>
      </c>
      <c r="V163" t="inlineStr">
        <is>
          <t>Failed</t>
        </is>
      </c>
      <c r="W163" t="n">
        <v>1</v>
      </c>
      <c r="X163" t="inlineStr">
        <is>
          <t>Customs</t>
        </is>
      </c>
    </row>
    <row r="164">
      <c r="A164" t="inlineStr">
        <is>
          <t>ORD-2026-00163</t>
        </is>
      </c>
      <c r="B164" t="inlineStr">
        <is>
          <t>CUST-0067</t>
        </is>
      </c>
      <c r="C164" s="3" t="n">
        <v>46047</v>
      </c>
      <c r="D164" s="3" t="n">
        <v>46050</v>
      </c>
      <c r="E164" s="3" t="n">
        <v>46051</v>
      </c>
      <c r="F164" t="inlineStr">
        <is>
          <t>Hyderabad</t>
        </is>
      </c>
      <c r="G164" t="inlineStr">
        <is>
          <t>Chennai</t>
        </is>
      </c>
      <c r="H164" t="inlineStr">
        <is>
          <t>Maersk</t>
        </is>
      </c>
      <c r="I164" t="inlineStr">
        <is>
          <t>Refrigerated Truck</t>
        </is>
      </c>
      <c r="J164" t="inlineStr">
        <is>
          <t>High</t>
        </is>
      </c>
      <c r="K164" t="inlineStr">
        <is>
          <t>Delivered</t>
        </is>
      </c>
      <c r="L164" t="n">
        <v>1479.94</v>
      </c>
      <c r="M164" t="n">
        <v>260</v>
      </c>
      <c r="N164" t="n">
        <v>32.79</v>
      </c>
      <c r="O164" t="n">
        <v>1108.45</v>
      </c>
      <c r="P164" t="n">
        <v>370.42</v>
      </c>
      <c r="Q164">
        <f>ROUND(L164*M164*N164/1000+O164+P164,2)</f>
        <v/>
      </c>
      <c r="R164" t="inlineStr">
        <is>
          <t>No</t>
        </is>
      </c>
      <c r="S164">
        <f>IF(OR(E164="",D164=""),"",MAX(0,E164-D164))</f>
        <v/>
      </c>
      <c r="T164" t="inlineStr">
        <is>
          <t>No</t>
        </is>
      </c>
      <c r="U164" t="n">
        <v>35</v>
      </c>
      <c r="V164" t="inlineStr">
        <is>
          <t>Pending</t>
        </is>
      </c>
      <c r="W164" t="n">
        <v>1</v>
      </c>
      <c r="X164" t="inlineStr">
        <is>
          <t>Address Error</t>
        </is>
      </c>
    </row>
    <row r="165">
      <c r="A165" t="inlineStr">
        <is>
          <t>ORD-2026-00164</t>
        </is>
      </c>
      <c r="B165" t="inlineStr">
        <is>
          <t>CUST-0116</t>
        </is>
      </c>
      <c r="C165" s="3" t="n">
        <v>46057</v>
      </c>
      <c r="D165" s="3" t="n">
        <v>46059</v>
      </c>
      <c r="E165" s="3" t="n">
        <v>46059</v>
      </c>
      <c r="F165" t="inlineStr">
        <is>
          <t>Pune</t>
        </is>
      </c>
      <c r="G165" t="inlineStr">
        <is>
          <t>Jaipur</t>
        </is>
      </c>
      <c r="H165" t="inlineStr">
        <is>
          <t>FedEx</t>
        </is>
      </c>
      <c r="I165" t="inlineStr">
        <is>
          <t>Van</t>
        </is>
      </c>
      <c r="J165" t="inlineStr">
        <is>
          <t>Low</t>
        </is>
      </c>
      <c r="K165" t="inlineStr">
        <is>
          <t>Delivered</t>
        </is>
      </c>
      <c r="L165" t="n">
        <v>1165.4</v>
      </c>
      <c r="M165" t="n">
        <v>1670</v>
      </c>
      <c r="N165" t="n">
        <v>14.88</v>
      </c>
      <c r="O165" t="n">
        <v>1491.35</v>
      </c>
      <c r="P165" t="n">
        <v>1160.1</v>
      </c>
      <c r="Q165">
        <f>ROUND(L165*M165*N165/1000+O165+P165,2)</f>
        <v/>
      </c>
      <c r="R165" t="inlineStr">
        <is>
          <t>Yes</t>
        </is>
      </c>
      <c r="S165">
        <f>IF(OR(E165="",D165=""),"",MAX(0,E165-D165))</f>
        <v/>
      </c>
      <c r="T165" t="inlineStr">
        <is>
          <t>Yes</t>
        </is>
      </c>
      <c r="U165" t="n">
        <v>39</v>
      </c>
      <c r="V165" t="inlineStr">
        <is>
          <t>Paid</t>
        </is>
      </c>
      <c r="W165" t="n">
        <v>2</v>
      </c>
      <c r="X165" t="inlineStr">
        <is>
          <t>Customer Unavailable</t>
        </is>
      </c>
    </row>
    <row r="166">
      <c r="A166" t="inlineStr">
        <is>
          <t>ORD-2026-00165</t>
        </is>
      </c>
      <c r="B166" t="inlineStr">
        <is>
          <t>CUST-0045</t>
        </is>
      </c>
      <c r="C166" s="3" t="n">
        <v>46242</v>
      </c>
      <c r="D166" s="3" t="n">
        <v>46248</v>
      </c>
      <c r="E166" s="3" t="n">
        <v>46248</v>
      </c>
      <c r="F166" t="inlineStr">
        <is>
          <t>Ahmedabad</t>
        </is>
      </c>
      <c r="G166" t="inlineStr">
        <is>
          <t>Chennai</t>
        </is>
      </c>
      <c r="H166" t="inlineStr">
        <is>
          <t>Aramex</t>
        </is>
      </c>
      <c r="I166" t="inlineStr">
        <is>
          <t>Container</t>
        </is>
      </c>
      <c r="J166" t="inlineStr">
        <is>
          <t>Normal</t>
        </is>
      </c>
      <c r="K166" t="inlineStr">
        <is>
          <t>Delivered</t>
        </is>
      </c>
      <c r="L166" t="n">
        <v>2421.02</v>
      </c>
      <c r="M166" t="n">
        <v>1628</v>
      </c>
      <c r="N166" t="n">
        <v>37.27</v>
      </c>
      <c r="O166" t="n">
        <v>10375.46</v>
      </c>
      <c r="P166" t="n">
        <v>405.05</v>
      </c>
      <c r="Q166">
        <f>ROUND(L166*M166*N166/1000+O166+P166,2)</f>
        <v/>
      </c>
      <c r="R166" t="inlineStr">
        <is>
          <t>Yes</t>
        </is>
      </c>
      <c r="S166">
        <f>IF(OR(E166="",D166=""),"",MAX(0,E166-D166))</f>
        <v/>
      </c>
      <c r="T166" t="inlineStr">
        <is>
          <t>Yes</t>
        </is>
      </c>
      <c r="U166" t="n">
        <v>60</v>
      </c>
      <c r="V166" t="inlineStr">
        <is>
          <t>Paid</t>
        </is>
      </c>
      <c r="W166" t="n">
        <v>2</v>
      </c>
      <c r="X166" t="inlineStr">
        <is>
          <t>None</t>
        </is>
      </c>
    </row>
    <row r="167">
      <c r="A167" t="inlineStr">
        <is>
          <t>ORD-2026-00166</t>
        </is>
      </c>
      <c r="B167" t="inlineStr">
        <is>
          <t>CUST-0150</t>
        </is>
      </c>
      <c r="C167" s="3" t="n">
        <v>46026</v>
      </c>
      <c r="D167" s="3" t="n">
        <v>46027</v>
      </c>
      <c r="E167" s="3" t="n">
        <v>46030</v>
      </c>
      <c r="F167" t="inlineStr">
        <is>
          <t>Kolkata</t>
        </is>
      </c>
      <c r="G167" t="inlineStr">
        <is>
          <t>Pune</t>
        </is>
      </c>
      <c r="H167" t="inlineStr">
        <is>
          <t>Aramex</t>
        </is>
      </c>
      <c r="I167" t="inlineStr">
        <is>
          <t>Van</t>
        </is>
      </c>
      <c r="J167" t="inlineStr">
        <is>
          <t>Low</t>
        </is>
      </c>
      <c r="K167" t="inlineStr">
        <is>
          <t>Delivered</t>
        </is>
      </c>
      <c r="L167" t="n">
        <v>327.22</v>
      </c>
      <c r="M167" t="n">
        <v>1645</v>
      </c>
      <c r="N167" t="n">
        <v>29.22</v>
      </c>
      <c r="O167" t="n">
        <v>1066.67</v>
      </c>
      <c r="P167" t="n">
        <v>974.13</v>
      </c>
      <c r="Q167">
        <f>ROUND(L167*M167*N167/1000+O167+P167,2)</f>
        <v/>
      </c>
      <c r="R167" t="inlineStr">
        <is>
          <t>No</t>
        </is>
      </c>
      <c r="S167">
        <f>IF(OR(E167="",D167=""),"",MAX(0,E167-D167))</f>
        <v/>
      </c>
      <c r="T167" t="inlineStr">
        <is>
          <t>Yes</t>
        </is>
      </c>
      <c r="U167" t="n">
        <v>26</v>
      </c>
      <c r="V167" t="inlineStr">
        <is>
          <t>Failed</t>
        </is>
      </c>
      <c r="W167" t="n">
        <v>2</v>
      </c>
      <c r="X167" t="inlineStr">
        <is>
          <t>None</t>
        </is>
      </c>
    </row>
    <row r="168">
      <c r="A168" t="inlineStr">
        <is>
          <t>ORD-2026-00167</t>
        </is>
      </c>
      <c r="B168" t="inlineStr">
        <is>
          <t>CUST-0098</t>
        </is>
      </c>
      <c r="C168" s="3" t="n">
        <v>46239</v>
      </c>
      <c r="D168" s="3" t="n">
        <v>46245</v>
      </c>
      <c r="E168" s="3" t="n">
        <v>46245</v>
      </c>
      <c r="F168" t="inlineStr">
        <is>
          <t>Chennai</t>
        </is>
      </c>
      <c r="G168" t="inlineStr">
        <is>
          <t>Delhi</t>
        </is>
      </c>
      <c r="H168" t="inlineStr">
        <is>
          <t>FedEx</t>
        </is>
      </c>
      <c r="I168" t="inlineStr">
        <is>
          <t>Truck</t>
        </is>
      </c>
      <c r="J168" t="inlineStr">
        <is>
          <t>Normal</t>
        </is>
      </c>
      <c r="K168" t="inlineStr">
        <is>
          <t>Delivered</t>
        </is>
      </c>
      <c r="L168" t="n">
        <v>127.07</v>
      </c>
      <c r="M168" t="n">
        <v>2355</v>
      </c>
      <c r="N168" t="n">
        <v>32.69</v>
      </c>
      <c r="O168" t="n">
        <v>718.6799999999999</v>
      </c>
      <c r="P168" t="n">
        <v>754.27</v>
      </c>
      <c r="Q168">
        <f>ROUND(L168*M168*N168/1000+O168+P168,2)</f>
        <v/>
      </c>
      <c r="R168" t="inlineStr">
        <is>
          <t>Yes</t>
        </is>
      </c>
      <c r="S168">
        <f>IF(OR(E168="",D168=""),"",MAX(0,E168-D168))</f>
        <v/>
      </c>
      <c r="T168" t="inlineStr">
        <is>
          <t>No</t>
        </is>
      </c>
      <c r="U168" t="n">
        <v>36</v>
      </c>
      <c r="V168" t="inlineStr">
        <is>
          <t>Failed</t>
        </is>
      </c>
      <c r="W168" t="n">
        <v>2</v>
      </c>
      <c r="X168" t="inlineStr">
        <is>
          <t>None</t>
        </is>
      </c>
    </row>
    <row r="169">
      <c r="A169" t="inlineStr">
        <is>
          <t>ORD-2026-00168</t>
        </is>
      </c>
      <c r="B169" t="inlineStr">
        <is>
          <t>CUST-0052</t>
        </is>
      </c>
      <c r="C169" s="3" t="n">
        <v>46180</v>
      </c>
      <c r="D169" s="3" t="n">
        <v>46184</v>
      </c>
      <c r="E169" s="3" t="n">
        <v>46185</v>
      </c>
      <c r="F169" t="inlineStr">
        <is>
          <t>Surat</t>
        </is>
      </c>
      <c r="G169" t="inlineStr">
        <is>
          <t>Bengaluru</t>
        </is>
      </c>
      <c r="H169" t="inlineStr">
        <is>
          <t>Maersk</t>
        </is>
      </c>
      <c r="I169" t="inlineStr">
        <is>
          <t>Bike</t>
        </is>
      </c>
      <c r="J169" t="inlineStr">
        <is>
          <t>Low</t>
        </is>
      </c>
      <c r="K169" t="inlineStr">
        <is>
          <t>Delivered</t>
        </is>
      </c>
      <c r="L169" t="n">
        <v>2207.01</v>
      </c>
      <c r="M169" t="n">
        <v>1967</v>
      </c>
      <c r="N169" t="n">
        <v>11.48</v>
      </c>
      <c r="O169" t="n">
        <v>2331.69</v>
      </c>
      <c r="P169" t="n">
        <v>223.11</v>
      </c>
      <c r="Q169">
        <f>ROUND(L169*M169*N169/1000+O169+P169,2)</f>
        <v/>
      </c>
      <c r="R169" t="inlineStr">
        <is>
          <t>No</t>
        </is>
      </c>
      <c r="S169">
        <f>IF(OR(E169="",D169=""),"",MAX(0,E169-D169))</f>
        <v/>
      </c>
      <c r="T169" t="inlineStr">
        <is>
          <t>No</t>
        </is>
      </c>
      <c r="U169" t="n">
        <v>46</v>
      </c>
      <c r="V169" t="inlineStr">
        <is>
          <t>Failed</t>
        </is>
      </c>
      <c r="W169" t="n">
        <v>5</v>
      </c>
      <c r="X169" t="inlineStr">
        <is>
          <t>Customer Unavailable</t>
        </is>
      </c>
    </row>
    <row r="170">
      <c r="A170" t="inlineStr">
        <is>
          <t>ORD-2026-00169</t>
        </is>
      </c>
      <c r="B170" t="inlineStr">
        <is>
          <t>CUST-0208</t>
        </is>
      </c>
      <c r="C170" s="3" t="n">
        <v>46147</v>
      </c>
      <c r="D170" s="3" t="n">
        <v>46153</v>
      </c>
      <c r="E170" s="3" t="n">
        <v>46158</v>
      </c>
      <c r="F170" t="inlineStr">
        <is>
          <t>Pune</t>
        </is>
      </c>
      <c r="G170" t="inlineStr">
        <is>
          <t>Ahmedabad</t>
        </is>
      </c>
      <c r="H170" t="inlineStr">
        <is>
          <t>Aramex</t>
        </is>
      </c>
      <c r="I170" t="inlineStr">
        <is>
          <t>Container</t>
        </is>
      </c>
      <c r="J170" t="inlineStr">
        <is>
          <t>High</t>
        </is>
      </c>
      <c r="K170" t="inlineStr">
        <is>
          <t>Delivered</t>
        </is>
      </c>
      <c r="L170" t="n">
        <v>971.26</v>
      </c>
      <c r="M170" t="n">
        <v>741</v>
      </c>
      <c r="N170" t="n">
        <v>9.49</v>
      </c>
      <c r="O170" t="n">
        <v>449.6</v>
      </c>
      <c r="P170" t="n">
        <v>63.37</v>
      </c>
      <c r="Q170">
        <f>ROUND(L170*M170*N170/1000+O170+P170,2)</f>
        <v/>
      </c>
      <c r="R170" t="inlineStr">
        <is>
          <t>No</t>
        </is>
      </c>
      <c r="S170">
        <f>IF(OR(E170="",D170=""),"",MAX(0,E170-D170))</f>
        <v/>
      </c>
      <c r="T170" t="inlineStr">
        <is>
          <t>Yes</t>
        </is>
      </c>
      <c r="U170" t="n">
        <v>21</v>
      </c>
      <c r="V170" t="inlineStr">
        <is>
          <t>Paid</t>
        </is>
      </c>
      <c r="W170" t="n">
        <v>2</v>
      </c>
      <c r="X170" t="inlineStr">
        <is>
          <t>Damaged Package</t>
        </is>
      </c>
    </row>
    <row r="171">
      <c r="A171" t="inlineStr">
        <is>
          <t>ORD-2026-00170</t>
        </is>
      </c>
      <c r="B171" t="inlineStr">
        <is>
          <t>CUST-0240</t>
        </is>
      </c>
      <c r="C171" s="3" t="n">
        <v>46084</v>
      </c>
      <c r="D171" s="3" t="n">
        <v>46089</v>
      </c>
      <c r="E171" s="3" t="n">
        <v>46089</v>
      </c>
      <c r="F171" t="inlineStr">
        <is>
          <t>Delhi</t>
        </is>
      </c>
      <c r="G171" t="inlineStr">
        <is>
          <t>Delhi</t>
        </is>
      </c>
      <c r="H171" t="inlineStr">
        <is>
          <t>DHL</t>
        </is>
      </c>
      <c r="I171" t="inlineStr">
        <is>
          <t>Bike</t>
        </is>
      </c>
      <c r="J171" t="inlineStr">
        <is>
          <t>High</t>
        </is>
      </c>
      <c r="K171" t="inlineStr">
        <is>
          <t>Delivered</t>
        </is>
      </c>
      <c r="L171" t="n">
        <v>1842.78</v>
      </c>
      <c r="M171" t="n">
        <v>903</v>
      </c>
      <c r="N171" t="n">
        <v>40.81</v>
      </c>
      <c r="O171" t="n">
        <v>6041.18</v>
      </c>
      <c r="P171" t="n">
        <v>594.87</v>
      </c>
      <c r="Q171">
        <f>ROUND(L171*M171*N171/1000+O171+P171,2)</f>
        <v/>
      </c>
      <c r="R171" t="inlineStr">
        <is>
          <t>Yes</t>
        </is>
      </c>
      <c r="S171">
        <f>IF(OR(E171="",D171=""),"",MAX(0,E171-D171))</f>
        <v/>
      </c>
      <c r="T171" t="inlineStr">
        <is>
          <t>No</t>
        </is>
      </c>
      <c r="U171" t="n">
        <v>76</v>
      </c>
      <c r="V171" t="inlineStr">
        <is>
          <t>Paid</t>
        </is>
      </c>
      <c r="W171" t="n">
        <v>3</v>
      </c>
      <c r="X171" t="inlineStr">
        <is>
          <t>Customs</t>
        </is>
      </c>
    </row>
    <row r="172">
      <c r="A172" t="inlineStr">
        <is>
          <t>ORD-2026-00171</t>
        </is>
      </c>
      <c r="B172" t="inlineStr">
        <is>
          <t>CUST-0015</t>
        </is>
      </c>
      <c r="C172" s="3" t="n">
        <v>46167</v>
      </c>
      <c r="D172" s="3" t="n">
        <v>46170</v>
      </c>
      <c r="E172" s="3" t="n">
        <v>46171</v>
      </c>
      <c r="F172" t="inlineStr">
        <is>
          <t>Bengaluru</t>
        </is>
      </c>
      <c r="G172" t="inlineStr">
        <is>
          <t>Kolkata</t>
        </is>
      </c>
      <c r="H172" t="inlineStr">
        <is>
          <t>DHL</t>
        </is>
      </c>
      <c r="I172" t="inlineStr">
        <is>
          <t>Van</t>
        </is>
      </c>
      <c r="J172" t="inlineStr">
        <is>
          <t>Critical</t>
        </is>
      </c>
      <c r="K172" t="inlineStr">
        <is>
          <t>Delivered</t>
        </is>
      </c>
      <c r="L172" t="n">
        <v>2470.02</v>
      </c>
      <c r="M172" t="n">
        <v>2021</v>
      </c>
      <c r="N172" t="n">
        <v>38.9</v>
      </c>
      <c r="O172" t="n">
        <v>7870.99</v>
      </c>
      <c r="P172" t="n">
        <v>76.19</v>
      </c>
      <c r="Q172">
        <f>ROUND(L172*M172*N172/1000+O172+P172,2)</f>
        <v/>
      </c>
      <c r="R172" t="inlineStr">
        <is>
          <t>No</t>
        </is>
      </c>
      <c r="S172">
        <f>IF(OR(E172="",D172=""),"",MAX(0,E172-D172))</f>
        <v/>
      </c>
      <c r="T172" t="inlineStr">
        <is>
          <t>Yes</t>
        </is>
      </c>
      <c r="U172" t="n">
        <v>43</v>
      </c>
      <c r="V172" t="inlineStr">
        <is>
          <t>Pending</t>
        </is>
      </c>
      <c r="W172" t="n">
        <v>2</v>
      </c>
      <c r="X172" t="inlineStr">
        <is>
          <t>Vehicle Breakdown</t>
        </is>
      </c>
    </row>
    <row r="173">
      <c r="A173" t="inlineStr">
        <is>
          <t>ORD-2026-00172</t>
        </is>
      </c>
      <c r="B173" t="inlineStr">
        <is>
          <t>CUST-0029</t>
        </is>
      </c>
      <c r="C173" s="3" t="n">
        <v>46206</v>
      </c>
      <c r="D173" s="3" t="n">
        <v>46209</v>
      </c>
      <c r="E173" s="3" t="n">
        <v>46214</v>
      </c>
      <c r="F173" t="inlineStr">
        <is>
          <t>Surat</t>
        </is>
      </c>
      <c r="G173" t="inlineStr">
        <is>
          <t>Hyderabad</t>
        </is>
      </c>
      <c r="H173" t="inlineStr">
        <is>
          <t>BlueDart</t>
        </is>
      </c>
      <c r="I173" t="inlineStr">
        <is>
          <t>Refrigerated Truck</t>
        </is>
      </c>
      <c r="J173" t="inlineStr">
        <is>
          <t>Critical</t>
        </is>
      </c>
      <c r="K173" t="inlineStr">
        <is>
          <t>Delivered</t>
        </is>
      </c>
      <c r="L173" t="n">
        <v>809.3099999999999</v>
      </c>
      <c r="M173" t="n">
        <v>94</v>
      </c>
      <c r="N173" t="n">
        <v>16.42</v>
      </c>
      <c r="O173" t="n">
        <v>90.29000000000001</v>
      </c>
      <c r="P173" t="n">
        <v>229.65</v>
      </c>
      <c r="Q173">
        <f>ROUND(L173*M173*N173/1000+O173+P173,2)</f>
        <v/>
      </c>
      <c r="R173" t="inlineStr">
        <is>
          <t>No</t>
        </is>
      </c>
      <c r="S173">
        <f>IF(OR(E173="",D173=""),"",MAX(0,E173-D173))</f>
        <v/>
      </c>
      <c r="T173" t="inlineStr">
        <is>
          <t>Yes</t>
        </is>
      </c>
      <c r="U173" t="n">
        <v>44</v>
      </c>
      <c r="V173" t="inlineStr">
        <is>
          <t>COD</t>
        </is>
      </c>
      <c r="W173" t="n">
        <v>3</v>
      </c>
      <c r="X173" t="inlineStr">
        <is>
          <t>Address Error</t>
        </is>
      </c>
    </row>
    <row r="174">
      <c r="A174" t="inlineStr">
        <is>
          <t>ORD-2026-00173</t>
        </is>
      </c>
      <c r="B174" t="inlineStr">
        <is>
          <t>CUST-0158</t>
        </is>
      </c>
      <c r="C174" s="3" t="n">
        <v>46063</v>
      </c>
      <c r="D174" s="3" t="n">
        <v>46070</v>
      </c>
      <c r="E174" s="3" t="n">
        <v>46072</v>
      </c>
      <c r="F174" t="inlineStr">
        <is>
          <t>Hyderabad</t>
        </is>
      </c>
      <c r="G174" t="inlineStr">
        <is>
          <t>Bengaluru</t>
        </is>
      </c>
      <c r="H174" t="inlineStr">
        <is>
          <t>Maersk</t>
        </is>
      </c>
      <c r="I174" t="inlineStr">
        <is>
          <t>Bike</t>
        </is>
      </c>
      <c r="J174" t="inlineStr">
        <is>
          <t>Normal</t>
        </is>
      </c>
      <c r="K174" t="inlineStr">
        <is>
          <t>Delivered</t>
        </is>
      </c>
      <c r="L174" t="n">
        <v>1623.13</v>
      </c>
      <c r="M174" t="n">
        <v>718</v>
      </c>
      <c r="N174" t="n">
        <v>48.31</v>
      </c>
      <c r="O174" t="n">
        <v>3587.41</v>
      </c>
      <c r="P174" t="n">
        <v>1336.61</v>
      </c>
      <c r="Q174">
        <f>ROUND(L174*M174*N174/1000+O174+P174,2)</f>
        <v/>
      </c>
      <c r="R174" t="inlineStr">
        <is>
          <t>No</t>
        </is>
      </c>
      <c r="S174">
        <f>IF(OR(E174="",D174=""),"",MAX(0,E174-D174))</f>
        <v/>
      </c>
      <c r="T174" t="inlineStr">
        <is>
          <t>No</t>
        </is>
      </c>
      <c r="U174" t="n">
        <v>40</v>
      </c>
      <c r="V174" t="inlineStr">
        <is>
          <t>COD</t>
        </is>
      </c>
      <c r="W174" t="n">
        <v>2</v>
      </c>
      <c r="X174" t="inlineStr">
        <is>
          <t>Address Error</t>
        </is>
      </c>
    </row>
    <row r="175">
      <c r="A175" t="inlineStr">
        <is>
          <t>ORD-2026-00174</t>
        </is>
      </c>
      <c r="B175" t="inlineStr">
        <is>
          <t>CUST-0248</t>
        </is>
      </c>
      <c r="C175" s="3" t="n">
        <v>46209</v>
      </c>
      <c r="D175" s="3" t="n">
        <v>46210</v>
      </c>
      <c r="E175" s="3" t="n">
        <v>46215</v>
      </c>
      <c r="F175" t="inlineStr">
        <is>
          <t>Kolkata</t>
        </is>
      </c>
      <c r="G175" t="inlineStr">
        <is>
          <t>Bengaluru</t>
        </is>
      </c>
      <c r="H175" t="inlineStr">
        <is>
          <t>Maersk</t>
        </is>
      </c>
      <c r="I175" t="inlineStr">
        <is>
          <t>Bike</t>
        </is>
      </c>
      <c r="J175" t="inlineStr">
        <is>
          <t>Low</t>
        </is>
      </c>
      <c r="K175" t="inlineStr">
        <is>
          <t>Delivered</t>
        </is>
      </c>
      <c r="L175" t="n">
        <v>979.3099999999999</v>
      </c>
      <c r="M175" t="n">
        <v>2329</v>
      </c>
      <c r="N175" t="n">
        <v>9.85</v>
      </c>
      <c r="O175" t="n">
        <v>1485.98</v>
      </c>
      <c r="P175" t="n">
        <v>1383.14</v>
      </c>
      <c r="Q175">
        <f>ROUND(L175*M175*N175/1000+O175+P175,2)</f>
        <v/>
      </c>
      <c r="R175" t="inlineStr">
        <is>
          <t>No</t>
        </is>
      </c>
      <c r="S175">
        <f>IF(OR(E175="",D175=""),"",MAX(0,E175-D175))</f>
        <v/>
      </c>
      <c r="T175" t="inlineStr">
        <is>
          <t>No</t>
        </is>
      </c>
      <c r="U175" t="n">
        <v>19</v>
      </c>
      <c r="V175" t="inlineStr">
        <is>
          <t>COD</t>
        </is>
      </c>
      <c r="W175" t="n">
        <v>1</v>
      </c>
      <c r="X175" t="inlineStr">
        <is>
          <t>Address Error</t>
        </is>
      </c>
    </row>
    <row r="176">
      <c r="A176" t="inlineStr">
        <is>
          <t>ORD-2026-00175</t>
        </is>
      </c>
      <c r="B176" t="inlineStr">
        <is>
          <t>CUST-0068</t>
        </is>
      </c>
      <c r="C176" s="3" t="n">
        <v>46111</v>
      </c>
      <c r="D176" s="3" t="n">
        <v>46117</v>
      </c>
      <c r="E176" s="3" t="n">
        <v>46117</v>
      </c>
      <c r="F176" t="inlineStr">
        <is>
          <t>Bengaluru</t>
        </is>
      </c>
      <c r="G176" t="inlineStr">
        <is>
          <t>Bengaluru</t>
        </is>
      </c>
      <c r="H176" t="inlineStr">
        <is>
          <t>Maersk</t>
        </is>
      </c>
      <c r="I176" t="inlineStr">
        <is>
          <t>Van</t>
        </is>
      </c>
      <c r="J176" t="inlineStr">
        <is>
          <t>High</t>
        </is>
      </c>
      <c r="K176" t="inlineStr">
        <is>
          <t>Delivered</t>
        </is>
      </c>
      <c r="L176" t="n">
        <v>222.27</v>
      </c>
      <c r="M176" t="n">
        <v>2749</v>
      </c>
      <c r="N176" t="n">
        <v>44.43</v>
      </c>
      <c r="O176" t="n">
        <v>2258.66</v>
      </c>
      <c r="P176" t="n">
        <v>681.01</v>
      </c>
      <c r="Q176">
        <f>ROUND(L176*M176*N176/1000+O176+P176,2)</f>
        <v/>
      </c>
      <c r="R176" t="inlineStr">
        <is>
          <t>Yes</t>
        </is>
      </c>
      <c r="S176">
        <f>IF(OR(E176="",D176=""),"",MAX(0,E176-D176))</f>
        <v/>
      </c>
      <c r="T176" t="inlineStr">
        <is>
          <t>No</t>
        </is>
      </c>
      <c r="U176" t="n">
        <v>14</v>
      </c>
      <c r="V176" t="inlineStr">
        <is>
          <t>Paid</t>
        </is>
      </c>
      <c r="W176" t="n">
        <v>1</v>
      </c>
      <c r="X176" t="inlineStr">
        <is>
          <t>Weather</t>
        </is>
      </c>
    </row>
    <row r="177">
      <c r="A177" t="inlineStr">
        <is>
          <t>ORD-2026-00176</t>
        </is>
      </c>
      <c r="B177" t="inlineStr">
        <is>
          <t>CUST-0202</t>
        </is>
      </c>
      <c r="C177" s="3" t="n">
        <v>46135</v>
      </c>
      <c r="D177" s="3" t="n">
        <v>46142</v>
      </c>
      <c r="E177" s="3" t="n">
        <v>46152</v>
      </c>
      <c r="F177" t="inlineStr">
        <is>
          <t>Kolkata</t>
        </is>
      </c>
      <c r="G177" t="inlineStr">
        <is>
          <t>Bengaluru</t>
        </is>
      </c>
      <c r="H177" t="inlineStr">
        <is>
          <t>DHL</t>
        </is>
      </c>
      <c r="I177" t="inlineStr">
        <is>
          <t>Container</t>
        </is>
      </c>
      <c r="J177" t="inlineStr">
        <is>
          <t>Low</t>
        </is>
      </c>
      <c r="K177" t="inlineStr">
        <is>
          <t>Delivered</t>
        </is>
      </c>
      <c r="L177" t="n">
        <v>1232.96</v>
      </c>
      <c r="M177" t="n">
        <v>1556</v>
      </c>
      <c r="N177" t="n">
        <v>28.02</v>
      </c>
      <c r="O177" t="n">
        <v>2823.31</v>
      </c>
      <c r="P177" t="n">
        <v>1246.63</v>
      </c>
      <c r="Q177">
        <f>ROUND(L177*M177*N177/1000+O177+P177,2)</f>
        <v/>
      </c>
      <c r="R177" t="inlineStr">
        <is>
          <t>No</t>
        </is>
      </c>
      <c r="S177">
        <f>IF(OR(E177="",D177=""),"",MAX(0,E177-D177))</f>
        <v/>
      </c>
      <c r="T177" t="inlineStr">
        <is>
          <t>Yes</t>
        </is>
      </c>
      <c r="U177" t="n">
        <v>38</v>
      </c>
      <c r="V177" t="inlineStr">
        <is>
          <t>Paid</t>
        </is>
      </c>
      <c r="W177" t="n">
        <v>3</v>
      </c>
      <c r="X177" t="inlineStr">
        <is>
          <t>Vehicle Breakdown</t>
        </is>
      </c>
    </row>
    <row r="178">
      <c r="A178" t="inlineStr">
        <is>
          <t>ORD-2026-00177</t>
        </is>
      </c>
      <c r="B178" t="inlineStr">
        <is>
          <t>CUST-0153</t>
        </is>
      </c>
      <c r="C178" s="3" t="n">
        <v>46049</v>
      </c>
      <c r="D178" s="3" t="n">
        <v>46051</v>
      </c>
      <c r="E178" s="3" t="n">
        <v>46051</v>
      </c>
      <c r="F178" t="inlineStr">
        <is>
          <t>Kolkata</t>
        </is>
      </c>
      <c r="G178" t="inlineStr">
        <is>
          <t>Jaipur</t>
        </is>
      </c>
      <c r="H178" t="inlineStr">
        <is>
          <t>Maersk</t>
        </is>
      </c>
      <c r="I178" t="inlineStr">
        <is>
          <t>Van</t>
        </is>
      </c>
      <c r="J178" t="inlineStr">
        <is>
          <t>Critical</t>
        </is>
      </c>
      <c r="K178" t="inlineStr">
        <is>
          <t>Delivered</t>
        </is>
      </c>
      <c r="L178" t="n">
        <v>402.68</v>
      </c>
      <c r="M178" t="n">
        <v>312</v>
      </c>
      <c r="N178" t="n">
        <v>39.18</v>
      </c>
      <c r="O178" t="n">
        <v>412.93</v>
      </c>
      <c r="P178" t="n">
        <v>157.79</v>
      </c>
      <c r="Q178">
        <f>ROUND(L178*M178*N178/1000+O178+P178,2)</f>
        <v/>
      </c>
      <c r="R178" t="inlineStr">
        <is>
          <t>Yes</t>
        </is>
      </c>
      <c r="S178">
        <f>IF(OR(E178="",D178=""),"",MAX(0,E178-D178))</f>
        <v/>
      </c>
      <c r="T178" t="inlineStr">
        <is>
          <t>Yes</t>
        </is>
      </c>
      <c r="U178" t="n">
        <v>78</v>
      </c>
      <c r="V178" t="inlineStr">
        <is>
          <t>Failed</t>
        </is>
      </c>
      <c r="W178" t="n">
        <v>2</v>
      </c>
      <c r="X178" t="inlineStr">
        <is>
          <t>None</t>
        </is>
      </c>
    </row>
    <row r="179">
      <c r="A179" t="inlineStr">
        <is>
          <t>ORD-2026-00178</t>
        </is>
      </c>
      <c r="B179" t="inlineStr">
        <is>
          <t>CUST-0013</t>
        </is>
      </c>
      <c r="C179" s="3" t="n">
        <v>46048</v>
      </c>
      <c r="D179" s="3" t="n">
        <v>46054</v>
      </c>
      <c r="E179" s="3" t="n">
        <v>46054</v>
      </c>
      <c r="F179" t="inlineStr">
        <is>
          <t>Chennai</t>
        </is>
      </c>
      <c r="G179" t="inlineStr">
        <is>
          <t>Kolkata</t>
        </is>
      </c>
      <c r="H179" t="inlineStr">
        <is>
          <t>DTDC</t>
        </is>
      </c>
      <c r="I179" t="inlineStr">
        <is>
          <t>Container</t>
        </is>
      </c>
      <c r="J179" t="inlineStr">
        <is>
          <t>Normal</t>
        </is>
      </c>
      <c r="K179" t="inlineStr">
        <is>
          <t>Delivered</t>
        </is>
      </c>
      <c r="L179" t="n">
        <v>1743.14</v>
      </c>
      <c r="M179" t="n">
        <v>2217</v>
      </c>
      <c r="N179" t="n">
        <v>23.12</v>
      </c>
      <c r="O179" t="n">
        <v>4189.66</v>
      </c>
      <c r="P179" t="n">
        <v>371.57</v>
      </c>
      <c r="Q179">
        <f>ROUND(L179*M179*N179/1000+O179+P179,2)</f>
        <v/>
      </c>
      <c r="R179" t="inlineStr">
        <is>
          <t>Yes</t>
        </is>
      </c>
      <c r="S179">
        <f>IF(OR(E179="",D179=""),"",MAX(0,E179-D179))</f>
        <v/>
      </c>
      <c r="T179" t="inlineStr">
        <is>
          <t>Yes</t>
        </is>
      </c>
      <c r="U179" t="n">
        <v>47</v>
      </c>
      <c r="V179" t="inlineStr">
        <is>
          <t>Paid</t>
        </is>
      </c>
      <c r="W179" t="n">
        <v>4</v>
      </c>
      <c r="X179" t="inlineStr">
        <is>
          <t>None</t>
        </is>
      </c>
    </row>
    <row r="180">
      <c r="A180" t="inlineStr">
        <is>
          <t>ORD-2026-00179</t>
        </is>
      </c>
      <c r="B180" t="inlineStr">
        <is>
          <t>CUST-0121</t>
        </is>
      </c>
      <c r="C180" s="3" t="n">
        <v>46098</v>
      </c>
      <c r="D180" s="3" t="n">
        <v>46106</v>
      </c>
      <c r="E180" s="3" t="n"/>
      <c r="F180" t="inlineStr">
        <is>
          <t>Jaipur</t>
        </is>
      </c>
      <c r="G180" t="inlineStr">
        <is>
          <t>Pune</t>
        </is>
      </c>
      <c r="H180" t="inlineStr">
        <is>
          <t>BlueDart</t>
        </is>
      </c>
      <c r="I180" t="inlineStr">
        <is>
          <t>Bike</t>
        </is>
      </c>
      <c r="J180" t="inlineStr">
        <is>
          <t>Critical</t>
        </is>
      </c>
      <c r="K180" t="inlineStr">
        <is>
          <t>Booked</t>
        </is>
      </c>
      <c r="L180" t="n">
        <v>1595.66</v>
      </c>
      <c r="M180" t="n">
        <v>340</v>
      </c>
      <c r="N180" t="n">
        <v>34.99</v>
      </c>
      <c r="O180" t="n">
        <v>701.05</v>
      </c>
      <c r="P180" t="n">
        <v>1181.62</v>
      </c>
      <c r="Q180">
        <f>ROUND(L180*M180*N180/1000+O180+P180,2)</f>
        <v/>
      </c>
      <c r="R180" t="inlineStr">
        <is>
          <t>No</t>
        </is>
      </c>
      <c r="S180">
        <f>IF(OR(E180="",D180=""),"",MAX(0,E180-D180))</f>
        <v/>
      </c>
      <c r="T180" t="inlineStr">
        <is>
          <t>Yes</t>
        </is>
      </c>
      <c r="U180" t="n">
        <v>48</v>
      </c>
      <c r="V180" t="inlineStr">
        <is>
          <t>Failed</t>
        </is>
      </c>
      <c r="W180" t="n">
        <v>3</v>
      </c>
      <c r="X180" t="inlineStr">
        <is>
          <t>Address Error</t>
        </is>
      </c>
    </row>
    <row r="181">
      <c r="A181" t="inlineStr">
        <is>
          <t>ORD-2026-00180</t>
        </is>
      </c>
      <c r="B181" t="inlineStr">
        <is>
          <t>CUST-0025</t>
        </is>
      </c>
      <c r="C181" s="3" t="n">
        <v>46137</v>
      </c>
      <c r="D181" s="3" t="n">
        <v>46138</v>
      </c>
      <c r="E181" s="3" t="n">
        <v>46138</v>
      </c>
      <c r="F181" t="inlineStr">
        <is>
          <t>Mumbai</t>
        </is>
      </c>
      <c r="G181" t="inlineStr">
        <is>
          <t>Hyderabad</t>
        </is>
      </c>
      <c r="H181" t="inlineStr">
        <is>
          <t>Aramex</t>
        </is>
      </c>
      <c r="I181" t="inlineStr">
        <is>
          <t>Bike</t>
        </is>
      </c>
      <c r="J181" t="inlineStr">
        <is>
          <t>Critical</t>
        </is>
      </c>
      <c r="K181" t="inlineStr">
        <is>
          <t>Delivered</t>
        </is>
      </c>
      <c r="L181" t="n">
        <v>565.99</v>
      </c>
      <c r="M181" t="n">
        <v>1105</v>
      </c>
      <c r="N181" t="n">
        <v>40.16</v>
      </c>
      <c r="O181" t="n">
        <v>981.26</v>
      </c>
      <c r="P181" t="n">
        <v>1050.78</v>
      </c>
      <c r="Q181">
        <f>ROUND(L181*M181*N181/1000+O181+P181,2)</f>
        <v/>
      </c>
      <c r="R181" t="inlineStr">
        <is>
          <t>Yes</t>
        </is>
      </c>
      <c r="S181">
        <f>IF(OR(E181="",D181=""),"",MAX(0,E181-D181))</f>
        <v/>
      </c>
      <c r="T181" t="inlineStr">
        <is>
          <t>Yes</t>
        </is>
      </c>
      <c r="U181" t="n">
        <v>71</v>
      </c>
      <c r="V181" t="inlineStr">
        <is>
          <t>Paid</t>
        </is>
      </c>
      <c r="W181" t="n">
        <v>4</v>
      </c>
      <c r="X181" t="inlineStr">
        <is>
          <t>Customer Unavailable</t>
        </is>
      </c>
    </row>
    <row r="182">
      <c r="A182" t="inlineStr">
        <is>
          <t>ORD-2026-00181</t>
        </is>
      </c>
      <c r="B182" t="inlineStr">
        <is>
          <t>CUST-0232</t>
        </is>
      </c>
      <c r="C182" s="3" t="n">
        <v>46156</v>
      </c>
      <c r="D182" s="3" t="n">
        <v>46163</v>
      </c>
      <c r="E182" s="3" t="n">
        <v>46173</v>
      </c>
      <c r="F182" t="inlineStr">
        <is>
          <t>Ahmedabad</t>
        </is>
      </c>
      <c r="G182" t="inlineStr">
        <is>
          <t>Surat</t>
        </is>
      </c>
      <c r="H182" t="inlineStr">
        <is>
          <t>DTDC</t>
        </is>
      </c>
      <c r="I182" t="inlineStr">
        <is>
          <t>Bike</t>
        </is>
      </c>
      <c r="J182" t="inlineStr">
        <is>
          <t>Normal</t>
        </is>
      </c>
      <c r="K182" t="inlineStr">
        <is>
          <t>Delivered</t>
        </is>
      </c>
      <c r="L182" t="n">
        <v>2340.94</v>
      </c>
      <c r="M182" t="n">
        <v>2350</v>
      </c>
      <c r="N182" t="n">
        <v>58.25</v>
      </c>
      <c r="O182" t="n">
        <v>18770.33</v>
      </c>
      <c r="P182" t="n">
        <v>136.85</v>
      </c>
      <c r="Q182">
        <f>ROUND(L182*M182*N182/1000+O182+P182,2)</f>
        <v/>
      </c>
      <c r="R182" t="inlineStr">
        <is>
          <t>No</t>
        </is>
      </c>
      <c r="S182">
        <f>IF(OR(E182="",D182=""),"",MAX(0,E182-D182))</f>
        <v/>
      </c>
      <c r="T182" t="inlineStr">
        <is>
          <t>Yes</t>
        </is>
      </c>
      <c r="U182" t="n">
        <v>58</v>
      </c>
      <c r="V182" t="inlineStr">
        <is>
          <t>Pending</t>
        </is>
      </c>
      <c r="W182" t="n">
        <v>2</v>
      </c>
      <c r="X182" t="inlineStr">
        <is>
          <t>Address Error</t>
        </is>
      </c>
    </row>
    <row r="183">
      <c r="A183" t="inlineStr">
        <is>
          <t>ORD-2026-00182</t>
        </is>
      </c>
      <c r="B183" t="inlineStr">
        <is>
          <t>CUST-0153</t>
        </is>
      </c>
      <c r="C183" s="3" t="n">
        <v>46229</v>
      </c>
      <c r="D183" s="3" t="n">
        <v>46233</v>
      </c>
      <c r="E183" s="3" t="n">
        <v>46233</v>
      </c>
      <c r="F183" t="inlineStr">
        <is>
          <t>Pune</t>
        </is>
      </c>
      <c r="G183" t="inlineStr">
        <is>
          <t>Hyderabad</t>
        </is>
      </c>
      <c r="H183" t="inlineStr">
        <is>
          <t>Maersk</t>
        </is>
      </c>
      <c r="I183" t="inlineStr">
        <is>
          <t>Van</t>
        </is>
      </c>
      <c r="J183" t="inlineStr">
        <is>
          <t>Low</t>
        </is>
      </c>
      <c r="K183" t="inlineStr">
        <is>
          <t>Delivered</t>
        </is>
      </c>
      <c r="L183" t="n">
        <v>2470.71</v>
      </c>
      <c r="M183" t="n">
        <v>1788</v>
      </c>
      <c r="N183" t="n">
        <v>19.51</v>
      </c>
      <c r="O183" t="n">
        <v>6839.35</v>
      </c>
      <c r="P183" t="n">
        <v>238.86</v>
      </c>
      <c r="Q183">
        <f>ROUND(L183*M183*N183/1000+O183+P183,2)</f>
        <v/>
      </c>
      <c r="R183" t="inlineStr">
        <is>
          <t>Yes</t>
        </is>
      </c>
      <c r="S183">
        <f>IF(OR(E183="",D183=""),"",MAX(0,E183-D183))</f>
        <v/>
      </c>
      <c r="T183" t="inlineStr">
        <is>
          <t>No</t>
        </is>
      </c>
      <c r="U183" t="n">
        <v>72</v>
      </c>
      <c r="V183" t="inlineStr">
        <is>
          <t>Failed</t>
        </is>
      </c>
      <c r="W183" t="n">
        <v>5</v>
      </c>
      <c r="X183" t="inlineStr">
        <is>
          <t>Vehicle Breakdown</t>
        </is>
      </c>
    </row>
    <row r="184">
      <c r="A184" t="inlineStr">
        <is>
          <t>ORD-2026-00183</t>
        </is>
      </c>
      <c r="B184" t="inlineStr">
        <is>
          <t>CUST-0039</t>
        </is>
      </c>
      <c r="C184" s="3" t="n">
        <v>46242</v>
      </c>
      <c r="D184" s="3" t="n">
        <v>46247</v>
      </c>
      <c r="E184" s="3" t="n">
        <v>46247</v>
      </c>
      <c r="F184" t="inlineStr">
        <is>
          <t>Delhi</t>
        </is>
      </c>
      <c r="G184" t="inlineStr">
        <is>
          <t>Kolkata</t>
        </is>
      </c>
      <c r="H184" t="inlineStr">
        <is>
          <t>DTDC</t>
        </is>
      </c>
      <c r="I184" t="inlineStr">
        <is>
          <t>Bike</t>
        </is>
      </c>
      <c r="J184" t="inlineStr">
        <is>
          <t>Low</t>
        </is>
      </c>
      <c r="K184" t="inlineStr">
        <is>
          <t>Delivered</t>
        </is>
      </c>
      <c r="L184" t="n">
        <v>31.4</v>
      </c>
      <c r="M184" t="n">
        <v>2557</v>
      </c>
      <c r="N184" t="n">
        <v>41.49</v>
      </c>
      <c r="O184" t="n">
        <v>256.17</v>
      </c>
      <c r="P184" t="n">
        <v>186.53</v>
      </c>
      <c r="Q184">
        <f>ROUND(L184*M184*N184/1000+O184+P184,2)</f>
        <v/>
      </c>
      <c r="R184" t="inlineStr">
        <is>
          <t>Yes</t>
        </is>
      </c>
      <c r="S184">
        <f>IF(OR(E184="",D184=""),"",MAX(0,E184-D184))</f>
        <v/>
      </c>
      <c r="T184" t="inlineStr">
        <is>
          <t>Yes</t>
        </is>
      </c>
      <c r="U184" t="n">
        <v>73</v>
      </c>
      <c r="V184" t="inlineStr">
        <is>
          <t>Paid</t>
        </is>
      </c>
      <c r="W184" t="n">
        <v>3</v>
      </c>
      <c r="X184" t="inlineStr">
        <is>
          <t>Customer Unavailable</t>
        </is>
      </c>
    </row>
    <row r="185">
      <c r="A185" t="inlineStr">
        <is>
          <t>ORD-2026-00184</t>
        </is>
      </c>
      <c r="B185" t="inlineStr">
        <is>
          <t>CUST-0037</t>
        </is>
      </c>
      <c r="C185" s="3" t="n">
        <v>46160</v>
      </c>
      <c r="D185" s="3" t="n">
        <v>46166</v>
      </c>
      <c r="E185" s="3" t="n">
        <v>46169</v>
      </c>
      <c r="F185" t="inlineStr">
        <is>
          <t>Kolkata</t>
        </is>
      </c>
      <c r="G185" t="inlineStr">
        <is>
          <t>Kolkata</t>
        </is>
      </c>
      <c r="H185" t="inlineStr">
        <is>
          <t>Maersk</t>
        </is>
      </c>
      <c r="I185" t="inlineStr">
        <is>
          <t>Container</t>
        </is>
      </c>
      <c r="J185" t="inlineStr">
        <is>
          <t>Low</t>
        </is>
      </c>
      <c r="K185" t="inlineStr">
        <is>
          <t>Delivered</t>
        </is>
      </c>
      <c r="L185" t="n">
        <v>1637.14</v>
      </c>
      <c r="M185" t="n">
        <v>2348</v>
      </c>
      <c r="N185" t="n">
        <v>42.71</v>
      </c>
      <c r="O185" t="n">
        <v>5294.38</v>
      </c>
      <c r="P185" t="n">
        <v>427.61</v>
      </c>
      <c r="Q185">
        <f>ROUND(L185*M185*N185/1000+O185+P185,2)</f>
        <v/>
      </c>
      <c r="R185" t="inlineStr">
        <is>
          <t>No</t>
        </is>
      </c>
      <c r="S185">
        <f>IF(OR(E185="",D185=""),"",MAX(0,E185-D185))</f>
        <v/>
      </c>
      <c r="T185" t="inlineStr">
        <is>
          <t>No</t>
        </is>
      </c>
      <c r="U185" t="n">
        <v>43</v>
      </c>
      <c r="V185" t="inlineStr">
        <is>
          <t>Pending</t>
        </is>
      </c>
      <c r="W185" t="n">
        <v>1</v>
      </c>
      <c r="X185" t="inlineStr">
        <is>
          <t>Damaged Package</t>
        </is>
      </c>
    </row>
    <row r="186">
      <c r="A186" t="inlineStr">
        <is>
          <t>ORD-2026-00185</t>
        </is>
      </c>
      <c r="B186" t="inlineStr">
        <is>
          <t>CUST-0059</t>
        </is>
      </c>
      <c r="C186" s="3" t="n">
        <v>46144</v>
      </c>
      <c r="D186" s="3" t="n">
        <v>46149</v>
      </c>
      <c r="E186" s="3" t="n">
        <v>46152</v>
      </c>
      <c r="F186" t="inlineStr">
        <is>
          <t>Delhi</t>
        </is>
      </c>
      <c r="G186" t="inlineStr">
        <is>
          <t>Pune</t>
        </is>
      </c>
      <c r="H186" t="inlineStr">
        <is>
          <t>Maersk</t>
        </is>
      </c>
      <c r="I186" t="inlineStr">
        <is>
          <t>Container</t>
        </is>
      </c>
      <c r="J186" t="inlineStr">
        <is>
          <t>High</t>
        </is>
      </c>
      <c r="K186" t="inlineStr">
        <is>
          <t>Delayed</t>
        </is>
      </c>
      <c r="L186" t="n">
        <v>701.23</v>
      </c>
      <c r="M186" t="n">
        <v>2018</v>
      </c>
      <c r="N186" t="n">
        <v>56.92</v>
      </c>
      <c r="O186" t="n">
        <v>5726.14</v>
      </c>
      <c r="P186" t="n">
        <v>1459.3</v>
      </c>
      <c r="Q186">
        <f>ROUND(L186*M186*N186/1000+O186+P186,2)</f>
        <v/>
      </c>
      <c r="R186" t="inlineStr">
        <is>
          <t>No</t>
        </is>
      </c>
      <c r="S186">
        <f>IF(OR(E186="",D186=""),"",MAX(0,E186-D186))</f>
        <v/>
      </c>
      <c r="T186" t="inlineStr">
        <is>
          <t>No</t>
        </is>
      </c>
      <c r="U186" t="n">
        <v>54</v>
      </c>
      <c r="V186" t="inlineStr">
        <is>
          <t>Paid</t>
        </is>
      </c>
      <c r="W186" t="n">
        <v>2</v>
      </c>
      <c r="X186" t="inlineStr">
        <is>
          <t>Weather</t>
        </is>
      </c>
    </row>
    <row r="187">
      <c r="A187" t="inlineStr">
        <is>
          <t>ORD-2026-00186</t>
        </is>
      </c>
      <c r="B187" t="inlineStr">
        <is>
          <t>CUST-0130</t>
        </is>
      </c>
      <c r="C187" s="3" t="n">
        <v>46077</v>
      </c>
      <c r="D187" s="3" t="n">
        <v>46084</v>
      </c>
      <c r="E187" s="3" t="n">
        <v>46086</v>
      </c>
      <c r="F187" t="inlineStr">
        <is>
          <t>Chennai</t>
        </is>
      </c>
      <c r="G187" t="inlineStr">
        <is>
          <t>Delhi</t>
        </is>
      </c>
      <c r="H187" t="inlineStr">
        <is>
          <t>Aramex</t>
        </is>
      </c>
      <c r="I187" t="inlineStr">
        <is>
          <t>Bike</t>
        </is>
      </c>
      <c r="J187" t="inlineStr">
        <is>
          <t>Low</t>
        </is>
      </c>
      <c r="K187" t="inlineStr">
        <is>
          <t>Delivered</t>
        </is>
      </c>
      <c r="L187" t="n">
        <v>2168.04</v>
      </c>
      <c r="M187" t="n">
        <v>235</v>
      </c>
      <c r="N187" t="n">
        <v>37.37</v>
      </c>
      <c r="O187" t="n">
        <v>752.8</v>
      </c>
      <c r="P187" t="n">
        <v>480.46</v>
      </c>
      <c r="Q187">
        <f>ROUND(L187*M187*N187/1000+O187+P187,2)</f>
        <v/>
      </c>
      <c r="R187" t="inlineStr">
        <is>
          <t>No</t>
        </is>
      </c>
      <c r="S187">
        <f>IF(OR(E187="",D187=""),"",MAX(0,E187-D187))</f>
        <v/>
      </c>
      <c r="T187" t="inlineStr">
        <is>
          <t>Yes</t>
        </is>
      </c>
      <c r="U187" t="n">
        <v>25</v>
      </c>
      <c r="V187" t="inlineStr">
        <is>
          <t>Pending</t>
        </is>
      </c>
      <c r="W187" t="n">
        <v>1</v>
      </c>
      <c r="X187" t="inlineStr">
        <is>
          <t>Address Error</t>
        </is>
      </c>
    </row>
    <row r="188">
      <c r="A188" t="inlineStr">
        <is>
          <t>ORD-2026-00187</t>
        </is>
      </c>
      <c r="B188" t="inlineStr">
        <is>
          <t>CUST-0032</t>
        </is>
      </c>
      <c r="C188" s="3" t="n">
        <v>46031</v>
      </c>
      <c r="D188" s="3" t="n">
        <v>46039</v>
      </c>
      <c r="E188" s="3" t="n">
        <v>46039</v>
      </c>
      <c r="F188" t="inlineStr">
        <is>
          <t>Ahmedabad</t>
        </is>
      </c>
      <c r="G188" t="inlineStr">
        <is>
          <t>Bengaluru</t>
        </is>
      </c>
      <c r="H188" t="inlineStr">
        <is>
          <t>FedEx</t>
        </is>
      </c>
      <c r="I188" t="inlineStr">
        <is>
          <t>Container</t>
        </is>
      </c>
      <c r="J188" t="inlineStr">
        <is>
          <t>Critical</t>
        </is>
      </c>
      <c r="K188" t="inlineStr">
        <is>
          <t>Delivered</t>
        </is>
      </c>
      <c r="L188" t="n">
        <v>498.17</v>
      </c>
      <c r="M188" t="n">
        <v>1513</v>
      </c>
      <c r="N188" t="n">
        <v>54.94</v>
      </c>
      <c r="O188" t="n">
        <v>2497.34</v>
      </c>
      <c r="P188" t="n">
        <v>960.41</v>
      </c>
      <c r="Q188">
        <f>ROUND(L188*M188*N188/1000+O188+P188,2)</f>
        <v/>
      </c>
      <c r="R188" t="inlineStr">
        <is>
          <t>Yes</t>
        </is>
      </c>
      <c r="S188">
        <f>IF(OR(E188="",D188=""),"",MAX(0,E188-D188))</f>
        <v/>
      </c>
      <c r="T188" t="inlineStr">
        <is>
          <t>Yes</t>
        </is>
      </c>
      <c r="U188" t="n">
        <v>61</v>
      </c>
      <c r="V188" t="inlineStr">
        <is>
          <t>COD</t>
        </is>
      </c>
      <c r="W188" t="n">
        <v>3</v>
      </c>
      <c r="X188" t="inlineStr">
        <is>
          <t>Address Error</t>
        </is>
      </c>
    </row>
    <row r="189">
      <c r="A189" t="inlineStr">
        <is>
          <t>ORD-2026-00188</t>
        </is>
      </c>
      <c r="B189" t="inlineStr">
        <is>
          <t>CUST-0055</t>
        </is>
      </c>
      <c r="C189" s="3" t="n">
        <v>46237</v>
      </c>
      <c r="D189" s="3" t="n">
        <v>46242</v>
      </c>
      <c r="E189" s="3" t="n">
        <v>46244</v>
      </c>
      <c r="F189" t="inlineStr">
        <is>
          <t>Bengaluru</t>
        </is>
      </c>
      <c r="G189" t="inlineStr">
        <is>
          <t>Bengaluru</t>
        </is>
      </c>
      <c r="H189" t="inlineStr">
        <is>
          <t>Maersk</t>
        </is>
      </c>
      <c r="I189" t="inlineStr">
        <is>
          <t>Truck</t>
        </is>
      </c>
      <c r="J189" t="inlineStr">
        <is>
          <t>High</t>
        </is>
      </c>
      <c r="K189" t="inlineStr">
        <is>
          <t>Delivered</t>
        </is>
      </c>
      <c r="L189" t="n">
        <v>713.03</v>
      </c>
      <c r="M189" t="n">
        <v>1588</v>
      </c>
      <c r="N189" t="n">
        <v>10.83</v>
      </c>
      <c r="O189" t="n">
        <v>996.09</v>
      </c>
      <c r="P189" t="n">
        <v>1174.15</v>
      </c>
      <c r="Q189">
        <f>ROUND(L189*M189*N189/1000+O189+P189,2)</f>
        <v/>
      </c>
      <c r="R189" t="inlineStr">
        <is>
          <t>No</t>
        </is>
      </c>
      <c r="S189">
        <f>IF(OR(E189="",D189=""),"",MAX(0,E189-D189))</f>
        <v/>
      </c>
      <c r="T189" t="inlineStr">
        <is>
          <t>No</t>
        </is>
      </c>
      <c r="U189" t="n">
        <v>66</v>
      </c>
      <c r="V189" t="inlineStr">
        <is>
          <t>Paid</t>
        </is>
      </c>
      <c r="W189" t="n">
        <v>1</v>
      </c>
      <c r="X189" t="inlineStr">
        <is>
          <t>Weather</t>
        </is>
      </c>
    </row>
    <row r="190">
      <c r="A190" t="inlineStr">
        <is>
          <t>ORD-2026-00189</t>
        </is>
      </c>
      <c r="B190" t="inlineStr">
        <is>
          <t>CUST-0230</t>
        </is>
      </c>
      <c r="C190" s="3" t="n">
        <v>46056</v>
      </c>
      <c r="D190" s="3" t="n">
        <v>46059</v>
      </c>
      <c r="E190" s="3" t="n">
        <v>46064</v>
      </c>
      <c r="F190" t="inlineStr">
        <is>
          <t>Chennai</t>
        </is>
      </c>
      <c r="G190" t="inlineStr">
        <is>
          <t>Hyderabad</t>
        </is>
      </c>
      <c r="H190" t="inlineStr">
        <is>
          <t>Delhivery</t>
        </is>
      </c>
      <c r="I190" t="inlineStr">
        <is>
          <t>Refrigerated Truck</t>
        </is>
      </c>
      <c r="J190" t="inlineStr">
        <is>
          <t>Normal</t>
        </is>
      </c>
      <c r="K190" t="inlineStr">
        <is>
          <t>Delayed</t>
        </is>
      </c>
      <c r="L190" t="n">
        <v>2012.81</v>
      </c>
      <c r="M190" t="n">
        <v>1256</v>
      </c>
      <c r="N190" t="n">
        <v>48.63</v>
      </c>
      <c r="O190" t="n">
        <v>8920.860000000001</v>
      </c>
      <c r="P190" t="n">
        <v>427.56</v>
      </c>
      <c r="Q190">
        <f>ROUND(L190*M190*N190/1000+O190+P190,2)</f>
        <v/>
      </c>
      <c r="R190" t="inlineStr">
        <is>
          <t>No</t>
        </is>
      </c>
      <c r="S190">
        <f>IF(OR(E190="",D190=""),"",MAX(0,E190-D190))</f>
        <v/>
      </c>
      <c r="T190" t="inlineStr">
        <is>
          <t>No</t>
        </is>
      </c>
      <c r="U190" t="n">
        <v>39</v>
      </c>
      <c r="V190" t="inlineStr">
        <is>
          <t>Failed</t>
        </is>
      </c>
      <c r="W190" t="n">
        <v>5</v>
      </c>
      <c r="X190" t="inlineStr">
        <is>
          <t>None</t>
        </is>
      </c>
    </row>
    <row r="191">
      <c r="A191" t="inlineStr">
        <is>
          <t>ORD-2026-00190</t>
        </is>
      </c>
      <c r="B191" t="inlineStr">
        <is>
          <t>CUST-0084</t>
        </is>
      </c>
      <c r="C191" s="3" t="n">
        <v>46024</v>
      </c>
      <c r="D191" s="3" t="n">
        <v>46030</v>
      </c>
      <c r="E191" s="3" t="n">
        <v>46031</v>
      </c>
      <c r="F191" t="inlineStr">
        <is>
          <t>Pune</t>
        </is>
      </c>
      <c r="G191" t="inlineStr">
        <is>
          <t>Pune</t>
        </is>
      </c>
      <c r="H191" t="inlineStr">
        <is>
          <t>Maersk</t>
        </is>
      </c>
      <c r="I191" t="inlineStr">
        <is>
          <t>Refrigerated Truck</t>
        </is>
      </c>
      <c r="J191" t="inlineStr">
        <is>
          <t>Normal</t>
        </is>
      </c>
      <c r="K191" t="inlineStr">
        <is>
          <t>Delivered</t>
        </is>
      </c>
      <c r="L191" t="n">
        <v>707.05</v>
      </c>
      <c r="M191" t="n">
        <v>447</v>
      </c>
      <c r="N191" t="n">
        <v>35.46</v>
      </c>
      <c r="O191" t="n">
        <v>562.34</v>
      </c>
      <c r="P191" t="n">
        <v>429.2</v>
      </c>
      <c r="Q191">
        <f>ROUND(L191*M191*N191/1000+O191+P191,2)</f>
        <v/>
      </c>
      <c r="R191" t="inlineStr">
        <is>
          <t>No</t>
        </is>
      </c>
      <c r="S191">
        <f>IF(OR(E191="",D191=""),"",MAX(0,E191-D191))</f>
        <v/>
      </c>
      <c r="T191" t="inlineStr">
        <is>
          <t>Yes</t>
        </is>
      </c>
      <c r="U191" t="n">
        <v>67</v>
      </c>
      <c r="V191" t="inlineStr">
        <is>
          <t>Pending</t>
        </is>
      </c>
      <c r="W191" t="n">
        <v>1</v>
      </c>
      <c r="X191" t="inlineStr">
        <is>
          <t>Customer Unavailable</t>
        </is>
      </c>
    </row>
    <row r="192">
      <c r="A192" t="inlineStr">
        <is>
          <t>ORD-2026-00191</t>
        </is>
      </c>
      <c r="B192" t="inlineStr">
        <is>
          <t>CUST-0104</t>
        </is>
      </c>
      <c r="C192" s="3" t="n">
        <v>46242</v>
      </c>
      <c r="D192" s="3" t="n">
        <v>46249</v>
      </c>
      <c r="E192" s="3" t="n">
        <v>46250</v>
      </c>
      <c r="F192" t="inlineStr">
        <is>
          <t>Chennai</t>
        </is>
      </c>
      <c r="G192" t="inlineStr">
        <is>
          <t>Ahmedabad</t>
        </is>
      </c>
      <c r="H192" t="inlineStr">
        <is>
          <t>DTDC</t>
        </is>
      </c>
      <c r="I192" t="inlineStr">
        <is>
          <t>Bike</t>
        </is>
      </c>
      <c r="J192" t="inlineStr">
        <is>
          <t>Normal</t>
        </is>
      </c>
      <c r="K192" t="inlineStr">
        <is>
          <t>Delivered</t>
        </is>
      </c>
      <c r="L192" t="n">
        <v>1803.35</v>
      </c>
      <c r="M192" t="n">
        <v>2689</v>
      </c>
      <c r="N192" t="n">
        <v>36.35</v>
      </c>
      <c r="O192" t="n">
        <v>8414.41</v>
      </c>
      <c r="P192" t="n">
        <v>1362.23</v>
      </c>
      <c r="Q192">
        <f>ROUND(L192*M192*N192/1000+O192+P192,2)</f>
        <v/>
      </c>
      <c r="R192" t="inlineStr">
        <is>
          <t>No</t>
        </is>
      </c>
      <c r="S192">
        <f>IF(OR(E192="",D192=""),"",MAX(0,E192-D192))</f>
        <v/>
      </c>
      <c r="T192" t="inlineStr">
        <is>
          <t>No</t>
        </is>
      </c>
      <c r="U192" t="n">
        <v>29</v>
      </c>
      <c r="V192" t="inlineStr">
        <is>
          <t>Failed</t>
        </is>
      </c>
      <c r="W192" t="n">
        <v>3</v>
      </c>
      <c r="X192" t="inlineStr">
        <is>
          <t>Customs</t>
        </is>
      </c>
    </row>
    <row r="193">
      <c r="A193" t="inlineStr">
        <is>
          <t>ORD-2026-00192</t>
        </is>
      </c>
      <c r="B193" t="inlineStr">
        <is>
          <t>CUST-0144</t>
        </is>
      </c>
      <c r="C193" s="3" t="n">
        <v>46099</v>
      </c>
      <c r="D193" s="3" t="n">
        <v>46102</v>
      </c>
      <c r="E193" s="3" t="n">
        <v>46105</v>
      </c>
      <c r="F193" t="inlineStr">
        <is>
          <t>Delhi</t>
        </is>
      </c>
      <c r="G193" t="inlineStr">
        <is>
          <t>Hyderabad</t>
        </is>
      </c>
      <c r="H193" t="inlineStr">
        <is>
          <t>Maersk</t>
        </is>
      </c>
      <c r="I193" t="inlineStr">
        <is>
          <t>Van</t>
        </is>
      </c>
      <c r="J193" t="inlineStr">
        <is>
          <t>Normal</t>
        </is>
      </c>
      <c r="K193" t="inlineStr">
        <is>
          <t>Delivered</t>
        </is>
      </c>
      <c r="L193" t="n">
        <v>453.25</v>
      </c>
      <c r="M193" t="n">
        <v>404</v>
      </c>
      <c r="N193" t="n">
        <v>34.83</v>
      </c>
      <c r="O193" t="n">
        <v>474.86</v>
      </c>
      <c r="P193" t="n">
        <v>1093.28</v>
      </c>
      <c r="Q193">
        <f>ROUND(L193*M193*N193/1000+O193+P193,2)</f>
        <v/>
      </c>
      <c r="R193" t="inlineStr">
        <is>
          <t>No</t>
        </is>
      </c>
      <c r="S193">
        <f>IF(OR(E193="",D193=""),"",MAX(0,E193-D193))</f>
        <v/>
      </c>
      <c r="T193" t="inlineStr">
        <is>
          <t>No</t>
        </is>
      </c>
      <c r="U193" t="n">
        <v>29</v>
      </c>
      <c r="V193" t="inlineStr">
        <is>
          <t>COD</t>
        </is>
      </c>
      <c r="W193" t="n">
        <v>4</v>
      </c>
      <c r="X193" t="inlineStr">
        <is>
          <t>Customer Unavailable</t>
        </is>
      </c>
    </row>
    <row r="194">
      <c r="A194" t="inlineStr">
        <is>
          <t>ORD-2026-00193</t>
        </is>
      </c>
      <c r="B194" t="inlineStr">
        <is>
          <t>CUST-0159</t>
        </is>
      </c>
      <c r="C194" s="3" t="n">
        <v>46107</v>
      </c>
      <c r="D194" s="3" t="n">
        <v>46113</v>
      </c>
      <c r="E194" s="3" t="n">
        <v>46113</v>
      </c>
      <c r="F194" t="inlineStr">
        <is>
          <t>Mumbai</t>
        </is>
      </c>
      <c r="G194" t="inlineStr">
        <is>
          <t>Jaipur</t>
        </is>
      </c>
      <c r="H194" t="inlineStr">
        <is>
          <t>DHL</t>
        </is>
      </c>
      <c r="I194" t="inlineStr">
        <is>
          <t>Bike</t>
        </is>
      </c>
      <c r="J194" t="inlineStr">
        <is>
          <t>Low</t>
        </is>
      </c>
      <c r="K194" t="inlineStr">
        <is>
          <t>Delivered</t>
        </is>
      </c>
      <c r="L194" t="n">
        <v>2128.11</v>
      </c>
      <c r="M194" t="n">
        <v>1932</v>
      </c>
      <c r="N194" t="n">
        <v>11.06</v>
      </c>
      <c r="O194" t="n">
        <v>3095.08</v>
      </c>
      <c r="P194" t="n">
        <v>878.86</v>
      </c>
      <c r="Q194">
        <f>ROUND(L194*M194*N194/1000+O194+P194,2)</f>
        <v/>
      </c>
      <c r="R194" t="inlineStr">
        <is>
          <t>Yes</t>
        </is>
      </c>
      <c r="S194">
        <f>IF(OR(E194="",D194=""),"",MAX(0,E194-D194))</f>
        <v/>
      </c>
      <c r="T194" t="inlineStr">
        <is>
          <t>No</t>
        </is>
      </c>
      <c r="U194" t="n">
        <v>68</v>
      </c>
      <c r="V194" t="inlineStr">
        <is>
          <t>COD</t>
        </is>
      </c>
      <c r="W194" t="n">
        <v>4</v>
      </c>
      <c r="X194" t="inlineStr">
        <is>
          <t>None</t>
        </is>
      </c>
    </row>
    <row r="195">
      <c r="A195" t="inlineStr">
        <is>
          <t>ORD-2026-00194</t>
        </is>
      </c>
      <c r="B195" t="inlineStr">
        <is>
          <t>CUST-0221</t>
        </is>
      </c>
      <c r="C195" s="3" t="n">
        <v>46241</v>
      </c>
      <c r="D195" s="3" t="n">
        <v>46244</v>
      </c>
      <c r="E195" s="3" t="n">
        <v>46244</v>
      </c>
      <c r="F195" t="inlineStr">
        <is>
          <t>Delhi</t>
        </is>
      </c>
      <c r="G195" t="inlineStr">
        <is>
          <t>Mumbai</t>
        </is>
      </c>
      <c r="H195" t="inlineStr">
        <is>
          <t>Delhivery</t>
        </is>
      </c>
      <c r="I195" t="inlineStr">
        <is>
          <t>Refrigerated Truck</t>
        </is>
      </c>
      <c r="J195" t="inlineStr">
        <is>
          <t>Normal</t>
        </is>
      </c>
      <c r="K195" t="inlineStr">
        <is>
          <t>Delivered</t>
        </is>
      </c>
      <c r="L195" t="n">
        <v>1023.28</v>
      </c>
      <c r="M195" t="n">
        <v>2337</v>
      </c>
      <c r="N195" t="n">
        <v>58.89</v>
      </c>
      <c r="O195" t="n">
        <v>12561.88</v>
      </c>
      <c r="P195" t="n">
        <v>231.97</v>
      </c>
      <c r="Q195">
        <f>ROUND(L195*M195*N195/1000+O195+P195,2)</f>
        <v/>
      </c>
      <c r="R195" t="inlineStr">
        <is>
          <t>Yes</t>
        </is>
      </c>
      <c r="S195">
        <f>IF(OR(E195="",D195=""),"",MAX(0,E195-D195))</f>
        <v/>
      </c>
      <c r="T195" t="inlineStr">
        <is>
          <t>No</t>
        </is>
      </c>
      <c r="U195" t="n">
        <v>8</v>
      </c>
      <c r="V195" t="inlineStr">
        <is>
          <t>Paid</t>
        </is>
      </c>
      <c r="W195" t="n">
        <v>4</v>
      </c>
      <c r="X195" t="inlineStr">
        <is>
          <t>Vehicle Breakdown</t>
        </is>
      </c>
    </row>
    <row r="196">
      <c r="A196" t="inlineStr">
        <is>
          <t>ORD-2026-00195</t>
        </is>
      </c>
      <c r="B196" t="inlineStr">
        <is>
          <t>CUST-0110</t>
        </is>
      </c>
      <c r="C196" s="3" t="n">
        <v>46076</v>
      </c>
      <c r="D196" s="3" t="n">
        <v>46079</v>
      </c>
      <c r="E196" s="3" t="n">
        <v>46080</v>
      </c>
      <c r="F196" t="inlineStr">
        <is>
          <t>Jaipur</t>
        </is>
      </c>
      <c r="G196" t="inlineStr">
        <is>
          <t>Chennai</t>
        </is>
      </c>
      <c r="H196" t="inlineStr">
        <is>
          <t>BlueDart</t>
        </is>
      </c>
      <c r="I196" t="inlineStr">
        <is>
          <t>Van</t>
        </is>
      </c>
      <c r="J196" t="inlineStr">
        <is>
          <t>Normal</t>
        </is>
      </c>
      <c r="K196" t="inlineStr">
        <is>
          <t>Delivered</t>
        </is>
      </c>
      <c r="L196" t="n">
        <v>1963.13</v>
      </c>
      <c r="M196" t="n">
        <v>365</v>
      </c>
      <c r="N196" t="n">
        <v>15.38</v>
      </c>
      <c r="O196" t="n">
        <v>617.39</v>
      </c>
      <c r="P196" t="n">
        <v>655.53</v>
      </c>
      <c r="Q196">
        <f>ROUND(L196*M196*N196/1000+O196+P196,2)</f>
        <v/>
      </c>
      <c r="R196" t="inlineStr">
        <is>
          <t>No</t>
        </is>
      </c>
      <c r="S196">
        <f>IF(OR(E196="",D196=""),"",MAX(0,E196-D196))</f>
        <v/>
      </c>
      <c r="T196" t="inlineStr">
        <is>
          <t>No</t>
        </is>
      </c>
      <c r="U196" t="n">
        <v>2</v>
      </c>
      <c r="V196" t="inlineStr">
        <is>
          <t>COD</t>
        </is>
      </c>
      <c r="W196" t="n">
        <v>5</v>
      </c>
      <c r="X196" t="inlineStr">
        <is>
          <t>Address Error</t>
        </is>
      </c>
    </row>
    <row r="197">
      <c r="A197" t="inlineStr">
        <is>
          <t>ORD-2026-00196</t>
        </is>
      </c>
      <c r="B197" t="inlineStr">
        <is>
          <t>CUST-0079</t>
        </is>
      </c>
      <c r="C197" s="3" t="n">
        <v>46027</v>
      </c>
      <c r="D197" s="3" t="n">
        <v>46028</v>
      </c>
      <c r="E197" s="3" t="n">
        <v>46029</v>
      </c>
      <c r="F197" t="inlineStr">
        <is>
          <t>Delhi</t>
        </is>
      </c>
      <c r="G197" t="inlineStr">
        <is>
          <t>Mumbai</t>
        </is>
      </c>
      <c r="H197" t="inlineStr">
        <is>
          <t>Aramex</t>
        </is>
      </c>
      <c r="I197" t="inlineStr">
        <is>
          <t>Van</t>
        </is>
      </c>
      <c r="J197" t="inlineStr">
        <is>
          <t>High</t>
        </is>
      </c>
      <c r="K197" t="inlineStr">
        <is>
          <t>Delivered</t>
        </is>
      </c>
      <c r="L197" t="n">
        <v>1733.97</v>
      </c>
      <c r="M197" t="n">
        <v>1415</v>
      </c>
      <c r="N197" t="n">
        <v>25.79</v>
      </c>
      <c r="O197" t="n">
        <v>2288.27</v>
      </c>
      <c r="P197" t="n">
        <v>764.9400000000001</v>
      </c>
      <c r="Q197">
        <f>ROUND(L197*M197*N197/1000+O197+P197,2)</f>
        <v/>
      </c>
      <c r="R197" t="inlineStr">
        <is>
          <t>No</t>
        </is>
      </c>
      <c r="S197">
        <f>IF(OR(E197="",D197=""),"",MAX(0,E197-D197))</f>
        <v/>
      </c>
      <c r="T197" t="inlineStr">
        <is>
          <t>No</t>
        </is>
      </c>
      <c r="U197" t="n">
        <v>59</v>
      </c>
      <c r="V197" t="inlineStr">
        <is>
          <t>COD</t>
        </is>
      </c>
      <c r="W197" t="n">
        <v>4</v>
      </c>
      <c r="X197" t="inlineStr">
        <is>
          <t>Damaged Package</t>
        </is>
      </c>
    </row>
    <row r="198">
      <c r="A198" t="inlineStr">
        <is>
          <t>ORD-2026-00197</t>
        </is>
      </c>
      <c r="B198" t="inlineStr">
        <is>
          <t>CUST-0059</t>
        </is>
      </c>
      <c r="C198" s="3" t="n">
        <v>46057</v>
      </c>
      <c r="D198" s="3" t="n">
        <v>46063</v>
      </c>
      <c r="E198" s="3" t="n">
        <v>46073</v>
      </c>
      <c r="F198" t="inlineStr">
        <is>
          <t>Bengaluru</t>
        </is>
      </c>
      <c r="G198" t="inlineStr">
        <is>
          <t>Delhi</t>
        </is>
      </c>
      <c r="H198" t="inlineStr">
        <is>
          <t>DHL</t>
        </is>
      </c>
      <c r="I198" t="inlineStr">
        <is>
          <t>Van</t>
        </is>
      </c>
      <c r="J198" t="inlineStr">
        <is>
          <t>Normal</t>
        </is>
      </c>
      <c r="K198" t="inlineStr">
        <is>
          <t>Delivered</t>
        </is>
      </c>
      <c r="L198" t="n">
        <v>1875.41</v>
      </c>
      <c r="M198" t="n">
        <v>680</v>
      </c>
      <c r="N198" t="n">
        <v>62.04</v>
      </c>
      <c r="O198" t="n">
        <v>6732.36</v>
      </c>
      <c r="P198" t="n">
        <v>617.02</v>
      </c>
      <c r="Q198">
        <f>ROUND(L198*M198*N198/1000+O198+P198,2)</f>
        <v/>
      </c>
      <c r="R198" t="inlineStr">
        <is>
          <t>No</t>
        </is>
      </c>
      <c r="S198">
        <f>IF(OR(E198="",D198=""),"",MAX(0,E198-D198))</f>
        <v/>
      </c>
      <c r="T198" t="inlineStr">
        <is>
          <t>Yes</t>
        </is>
      </c>
      <c r="U198" t="n">
        <v>47</v>
      </c>
      <c r="V198" t="inlineStr">
        <is>
          <t>Paid</t>
        </is>
      </c>
      <c r="W198" t="n">
        <v>4</v>
      </c>
      <c r="X198" t="inlineStr">
        <is>
          <t>Damaged Package</t>
        </is>
      </c>
    </row>
    <row r="199">
      <c r="A199" t="inlineStr">
        <is>
          <t>ORD-2026-00198</t>
        </is>
      </c>
      <c r="B199" t="inlineStr">
        <is>
          <t>CUST-0032</t>
        </is>
      </c>
      <c r="C199" s="3" t="n">
        <v>46088</v>
      </c>
      <c r="D199" s="3" t="n">
        <v>46089</v>
      </c>
      <c r="E199" s="3" t="n"/>
      <c r="F199" t="inlineStr">
        <is>
          <t>Surat</t>
        </is>
      </c>
      <c r="G199" t="inlineStr">
        <is>
          <t>Pune</t>
        </is>
      </c>
      <c r="H199" t="inlineStr">
        <is>
          <t>Delhivery</t>
        </is>
      </c>
      <c r="I199" t="inlineStr">
        <is>
          <t>Truck</t>
        </is>
      </c>
      <c r="J199" t="inlineStr">
        <is>
          <t>Normal</t>
        </is>
      </c>
      <c r="K199" t="inlineStr">
        <is>
          <t>In Transit</t>
        </is>
      </c>
      <c r="L199" t="n">
        <v>1634.09</v>
      </c>
      <c r="M199" t="n">
        <v>85</v>
      </c>
      <c r="N199" t="n">
        <v>10.75</v>
      </c>
      <c r="O199" t="n">
        <v>55.17</v>
      </c>
      <c r="P199" t="n">
        <v>677.59</v>
      </c>
      <c r="Q199">
        <f>ROUND(L199*M199*N199/1000+O199+P199,2)</f>
        <v/>
      </c>
      <c r="R199" t="inlineStr">
        <is>
          <t>No</t>
        </is>
      </c>
      <c r="S199">
        <f>IF(OR(E199="",D199=""),"",MAX(0,E199-D199))</f>
        <v/>
      </c>
      <c r="T199" t="inlineStr">
        <is>
          <t>Yes</t>
        </is>
      </c>
      <c r="U199" t="n">
        <v>39</v>
      </c>
      <c r="V199" t="inlineStr">
        <is>
          <t>Failed</t>
        </is>
      </c>
      <c r="W199" t="n">
        <v>1</v>
      </c>
      <c r="X199" t="inlineStr">
        <is>
          <t>Damaged Package</t>
        </is>
      </c>
    </row>
    <row r="200">
      <c r="A200" t="inlineStr">
        <is>
          <t>ORD-2026-00199</t>
        </is>
      </c>
      <c r="B200" t="inlineStr">
        <is>
          <t>CUST-0201</t>
        </is>
      </c>
      <c r="C200" s="3" t="n">
        <v>46156</v>
      </c>
      <c r="D200" s="3" t="n">
        <v>46161</v>
      </c>
      <c r="E200" s="3" t="n">
        <v>46162</v>
      </c>
      <c r="F200" t="inlineStr">
        <is>
          <t>Mumbai</t>
        </is>
      </c>
      <c r="G200" t="inlineStr">
        <is>
          <t>Jaipur</t>
        </is>
      </c>
      <c r="H200" t="inlineStr">
        <is>
          <t>DHL</t>
        </is>
      </c>
      <c r="I200" t="inlineStr">
        <is>
          <t>Bike</t>
        </is>
      </c>
      <c r="J200" t="inlineStr">
        <is>
          <t>Normal</t>
        </is>
      </c>
      <c r="K200" t="inlineStr">
        <is>
          <t>Delivered</t>
        </is>
      </c>
      <c r="L200" t="n">
        <v>1047.35</v>
      </c>
      <c r="M200" t="n">
        <v>434</v>
      </c>
      <c r="N200" t="n">
        <v>37.16</v>
      </c>
      <c r="O200" t="n">
        <v>1132.75</v>
      </c>
      <c r="P200" t="n">
        <v>438.41</v>
      </c>
      <c r="Q200">
        <f>ROUND(L200*M200*N200/1000+O200+P200,2)</f>
        <v/>
      </c>
      <c r="R200" t="inlineStr">
        <is>
          <t>No</t>
        </is>
      </c>
      <c r="S200">
        <f>IF(OR(E200="",D200=""),"",MAX(0,E200-D200))</f>
        <v/>
      </c>
      <c r="T200" t="inlineStr">
        <is>
          <t>No</t>
        </is>
      </c>
      <c r="U200" t="n">
        <v>67</v>
      </c>
      <c r="V200" t="inlineStr">
        <is>
          <t>Pending</t>
        </is>
      </c>
      <c r="W200" t="n">
        <v>3</v>
      </c>
      <c r="X200" t="inlineStr">
        <is>
          <t>Damaged Package</t>
        </is>
      </c>
    </row>
    <row r="201">
      <c r="A201" t="inlineStr">
        <is>
          <t>ORD-2026-00200</t>
        </is>
      </c>
      <c r="B201" t="inlineStr">
        <is>
          <t>CUST-0233</t>
        </is>
      </c>
      <c r="C201" s="3" t="n">
        <v>46127</v>
      </c>
      <c r="D201" s="3" t="n">
        <v>46132</v>
      </c>
      <c r="E201" s="3" t="n">
        <v>46132</v>
      </c>
      <c r="F201" t="inlineStr">
        <is>
          <t>Mumbai</t>
        </is>
      </c>
      <c r="G201" t="inlineStr">
        <is>
          <t>Kolkata</t>
        </is>
      </c>
      <c r="H201" t="inlineStr">
        <is>
          <t>Maersk</t>
        </is>
      </c>
      <c r="I201" t="inlineStr">
        <is>
          <t>Container</t>
        </is>
      </c>
      <c r="J201" t="inlineStr">
        <is>
          <t>Normal</t>
        </is>
      </c>
      <c r="K201" t="inlineStr">
        <is>
          <t>Delivered</t>
        </is>
      </c>
      <c r="L201" t="n">
        <v>2275.94</v>
      </c>
      <c r="M201" t="n">
        <v>1973</v>
      </c>
      <c r="N201" t="n">
        <v>26.84</v>
      </c>
      <c r="O201" t="n">
        <v>3635.49</v>
      </c>
      <c r="P201" t="n">
        <v>1014.02</v>
      </c>
      <c r="Q201">
        <f>ROUND(L201*M201*N201/1000+O201+P201,2)</f>
        <v/>
      </c>
      <c r="R201" t="inlineStr">
        <is>
          <t>Yes</t>
        </is>
      </c>
      <c r="S201">
        <f>IF(OR(E201="",D201=""),"",MAX(0,E201-D201))</f>
        <v/>
      </c>
      <c r="T201" t="inlineStr">
        <is>
          <t>Yes</t>
        </is>
      </c>
      <c r="U201" t="n">
        <v>66</v>
      </c>
      <c r="V201" t="inlineStr">
        <is>
          <t>Paid</t>
        </is>
      </c>
      <c r="W201" t="n">
        <v>1</v>
      </c>
      <c r="X201" t="inlineStr">
        <is>
          <t>Vehicle Breakdown</t>
        </is>
      </c>
    </row>
    <row r="202">
      <c r="A202" t="inlineStr">
        <is>
          <t>ORD-2026-00201</t>
        </is>
      </c>
      <c r="B202" t="inlineStr">
        <is>
          <t>CUST-0075</t>
        </is>
      </c>
      <c r="C202" s="3" t="n">
        <v>46187</v>
      </c>
      <c r="D202" s="3" t="n">
        <v>46191</v>
      </c>
      <c r="E202" s="3" t="n">
        <v>46191</v>
      </c>
      <c r="F202" t="inlineStr">
        <is>
          <t>Hyderabad</t>
        </is>
      </c>
      <c r="G202" t="inlineStr">
        <is>
          <t>Hyderabad</t>
        </is>
      </c>
      <c r="H202" t="inlineStr">
        <is>
          <t>Delhivery</t>
        </is>
      </c>
      <c r="I202" t="inlineStr">
        <is>
          <t>Van</t>
        </is>
      </c>
      <c r="J202" t="inlineStr">
        <is>
          <t>Low</t>
        </is>
      </c>
      <c r="K202" t="inlineStr">
        <is>
          <t>Delivered</t>
        </is>
      </c>
      <c r="L202" t="n">
        <v>660.6799999999999</v>
      </c>
      <c r="M202" t="n">
        <v>210</v>
      </c>
      <c r="N202" t="n">
        <v>13.69</v>
      </c>
      <c r="O202" t="n">
        <v>76.89</v>
      </c>
      <c r="P202" t="n">
        <v>78.38</v>
      </c>
      <c r="Q202">
        <f>ROUND(L202*M202*N202/1000+O202+P202,2)</f>
        <v/>
      </c>
      <c r="R202" t="inlineStr">
        <is>
          <t>Yes</t>
        </is>
      </c>
      <c r="S202">
        <f>IF(OR(E202="",D202=""),"",MAX(0,E202-D202))</f>
        <v/>
      </c>
      <c r="T202" t="inlineStr">
        <is>
          <t>Yes</t>
        </is>
      </c>
      <c r="U202" t="n">
        <v>2</v>
      </c>
      <c r="V202" t="inlineStr">
        <is>
          <t>Pending</t>
        </is>
      </c>
      <c r="W202" t="n">
        <v>2</v>
      </c>
      <c r="X202" t="inlineStr">
        <is>
          <t>Vehicle Breakdown</t>
        </is>
      </c>
    </row>
    <row r="203">
      <c r="A203" t="inlineStr">
        <is>
          <t>ORD-2026-00202</t>
        </is>
      </c>
      <c r="B203" t="inlineStr">
        <is>
          <t>CUST-0247</t>
        </is>
      </c>
      <c r="C203" s="3" t="n">
        <v>46114</v>
      </c>
      <c r="D203" s="3" t="n">
        <v>46122</v>
      </c>
      <c r="E203" s="3" t="n">
        <v>46127</v>
      </c>
      <c r="F203" t="inlineStr">
        <is>
          <t>Jaipur</t>
        </is>
      </c>
      <c r="G203" t="inlineStr">
        <is>
          <t>Pune</t>
        </is>
      </c>
      <c r="H203" t="inlineStr">
        <is>
          <t>Aramex</t>
        </is>
      </c>
      <c r="I203" t="inlineStr">
        <is>
          <t>Container</t>
        </is>
      </c>
      <c r="J203" t="inlineStr">
        <is>
          <t>Critical</t>
        </is>
      </c>
      <c r="K203" t="inlineStr">
        <is>
          <t>Delivered</t>
        </is>
      </c>
      <c r="L203" t="n">
        <v>1832.8</v>
      </c>
      <c r="M203" t="n">
        <v>1531</v>
      </c>
      <c r="N203" t="n">
        <v>54.45</v>
      </c>
      <c r="O203" t="n">
        <v>6260.04</v>
      </c>
      <c r="P203" t="n">
        <v>613.15</v>
      </c>
      <c r="Q203">
        <f>ROUND(L203*M203*N203/1000+O203+P203,2)</f>
        <v/>
      </c>
      <c r="R203" t="inlineStr">
        <is>
          <t>No</t>
        </is>
      </c>
      <c r="S203">
        <f>IF(OR(E203="",D203=""),"",MAX(0,E203-D203))</f>
        <v/>
      </c>
      <c r="T203" t="inlineStr">
        <is>
          <t>No</t>
        </is>
      </c>
      <c r="U203" t="n">
        <v>22</v>
      </c>
      <c r="V203" t="inlineStr">
        <is>
          <t>Paid</t>
        </is>
      </c>
      <c r="W203" t="n">
        <v>2</v>
      </c>
      <c r="X203" t="inlineStr">
        <is>
          <t>Damaged Package</t>
        </is>
      </c>
    </row>
    <row r="204">
      <c r="A204" t="inlineStr">
        <is>
          <t>ORD-2026-00203</t>
        </is>
      </c>
      <c r="B204" t="inlineStr">
        <is>
          <t>CUST-0157</t>
        </is>
      </c>
      <c r="C204" s="3" t="n">
        <v>46208</v>
      </c>
      <c r="D204" s="3" t="n">
        <v>46209</v>
      </c>
      <c r="E204" s="3" t="n">
        <v>46219</v>
      </c>
      <c r="F204" t="inlineStr">
        <is>
          <t>Chennai</t>
        </is>
      </c>
      <c r="G204" t="inlineStr">
        <is>
          <t>Hyderabad</t>
        </is>
      </c>
      <c r="H204" t="inlineStr">
        <is>
          <t>DTDC</t>
        </is>
      </c>
      <c r="I204" t="inlineStr">
        <is>
          <t>Van</t>
        </is>
      </c>
      <c r="J204" t="inlineStr">
        <is>
          <t>Normal</t>
        </is>
      </c>
      <c r="K204" t="inlineStr">
        <is>
          <t>Delivered</t>
        </is>
      </c>
      <c r="L204" t="n">
        <v>259.73</v>
      </c>
      <c r="M204" t="n">
        <v>2424</v>
      </c>
      <c r="N204" t="n">
        <v>35.51</v>
      </c>
      <c r="O204" t="n">
        <v>1433.88</v>
      </c>
      <c r="P204" t="n">
        <v>668.48</v>
      </c>
      <c r="Q204">
        <f>ROUND(L204*M204*N204/1000+O204+P204,2)</f>
        <v/>
      </c>
      <c r="R204" t="inlineStr">
        <is>
          <t>No</t>
        </is>
      </c>
      <c r="S204">
        <f>IF(OR(E204="",D204=""),"",MAX(0,E204-D204))</f>
        <v/>
      </c>
      <c r="T204" t="inlineStr">
        <is>
          <t>No</t>
        </is>
      </c>
      <c r="U204" t="n">
        <v>63</v>
      </c>
      <c r="V204" t="inlineStr">
        <is>
          <t>Paid</t>
        </is>
      </c>
      <c r="W204" t="n">
        <v>4</v>
      </c>
      <c r="X204" t="inlineStr">
        <is>
          <t>Weather</t>
        </is>
      </c>
    </row>
    <row r="205">
      <c r="A205" t="inlineStr">
        <is>
          <t>ORD-2026-00204</t>
        </is>
      </c>
      <c r="B205" t="inlineStr">
        <is>
          <t>CUST-0058</t>
        </is>
      </c>
      <c r="C205" s="3" t="n">
        <v>46034</v>
      </c>
      <c r="D205" s="3" t="n">
        <v>46036</v>
      </c>
      <c r="E205" s="3" t="n">
        <v>46036</v>
      </c>
      <c r="F205" t="inlineStr">
        <is>
          <t>Hyderabad</t>
        </is>
      </c>
      <c r="G205" t="inlineStr">
        <is>
          <t>Surat</t>
        </is>
      </c>
      <c r="H205" t="inlineStr">
        <is>
          <t>DTDC</t>
        </is>
      </c>
      <c r="I205" t="inlineStr">
        <is>
          <t>Bike</t>
        </is>
      </c>
      <c r="J205" t="inlineStr">
        <is>
          <t>Low</t>
        </is>
      </c>
      <c r="K205" t="inlineStr">
        <is>
          <t>Delivered</t>
        </is>
      </c>
      <c r="L205" t="n">
        <v>1761.57</v>
      </c>
      <c r="M205" t="n">
        <v>2781</v>
      </c>
      <c r="N205" t="n">
        <v>37.91</v>
      </c>
      <c r="O205" t="n">
        <v>13857.82</v>
      </c>
      <c r="P205" t="n">
        <v>1091.18</v>
      </c>
      <c r="Q205">
        <f>ROUND(L205*M205*N205/1000+O205+P205,2)</f>
        <v/>
      </c>
      <c r="R205" t="inlineStr">
        <is>
          <t>Yes</t>
        </is>
      </c>
      <c r="S205">
        <f>IF(OR(E205="",D205=""),"",MAX(0,E205-D205))</f>
        <v/>
      </c>
      <c r="T205" t="inlineStr">
        <is>
          <t>No</t>
        </is>
      </c>
      <c r="U205" t="n">
        <v>32</v>
      </c>
      <c r="V205" t="inlineStr">
        <is>
          <t>Failed</t>
        </is>
      </c>
      <c r="W205" t="n">
        <v>3</v>
      </c>
      <c r="X205" t="inlineStr">
        <is>
          <t>Damaged Package</t>
        </is>
      </c>
    </row>
    <row r="206">
      <c r="A206" t="inlineStr">
        <is>
          <t>ORD-2026-00205</t>
        </is>
      </c>
      <c r="B206" t="inlineStr">
        <is>
          <t>CUST-0218</t>
        </is>
      </c>
      <c r="C206" s="3" t="n">
        <v>46196</v>
      </c>
      <c r="D206" s="3" t="n">
        <v>46203</v>
      </c>
      <c r="E206" s="3" t="n">
        <v>46203</v>
      </c>
      <c r="F206" t="inlineStr">
        <is>
          <t>Jaipur</t>
        </is>
      </c>
      <c r="G206" t="inlineStr">
        <is>
          <t>Jaipur</t>
        </is>
      </c>
      <c r="H206" t="inlineStr">
        <is>
          <t>Aramex</t>
        </is>
      </c>
      <c r="I206" t="inlineStr">
        <is>
          <t>Truck</t>
        </is>
      </c>
      <c r="J206" t="inlineStr">
        <is>
          <t>Low</t>
        </is>
      </c>
      <c r="K206" t="inlineStr">
        <is>
          <t>Delivered</t>
        </is>
      </c>
      <c r="L206" t="n">
        <v>2230.21</v>
      </c>
      <c r="M206" t="n">
        <v>2515</v>
      </c>
      <c r="N206" t="n">
        <v>11.11</v>
      </c>
      <c r="O206" t="n">
        <v>4275.1</v>
      </c>
      <c r="P206" t="n">
        <v>252.25</v>
      </c>
      <c r="Q206">
        <f>ROUND(L206*M206*N206/1000+O206+P206,2)</f>
        <v/>
      </c>
      <c r="R206" t="inlineStr">
        <is>
          <t>Yes</t>
        </is>
      </c>
      <c r="S206">
        <f>IF(OR(E206="",D206=""),"",MAX(0,E206-D206))</f>
        <v/>
      </c>
      <c r="T206" t="inlineStr">
        <is>
          <t>No</t>
        </is>
      </c>
      <c r="U206" t="n">
        <v>42</v>
      </c>
      <c r="V206" t="inlineStr">
        <is>
          <t>Pending</t>
        </is>
      </c>
      <c r="W206" t="n">
        <v>3</v>
      </c>
      <c r="X206" t="inlineStr">
        <is>
          <t>Vehicle Breakdown</t>
        </is>
      </c>
    </row>
    <row r="207">
      <c r="A207" t="inlineStr">
        <is>
          <t>ORD-2026-00206</t>
        </is>
      </c>
      <c r="B207" t="inlineStr">
        <is>
          <t>CUST-0220</t>
        </is>
      </c>
      <c r="C207" s="3" t="n">
        <v>46035</v>
      </c>
      <c r="D207" s="3" t="n">
        <v>46039</v>
      </c>
      <c r="E207" s="3" t="n">
        <v>46040</v>
      </c>
      <c r="F207" t="inlineStr">
        <is>
          <t>Jaipur</t>
        </is>
      </c>
      <c r="G207" t="inlineStr">
        <is>
          <t>Jaipur</t>
        </is>
      </c>
      <c r="H207" t="inlineStr">
        <is>
          <t>FedEx</t>
        </is>
      </c>
      <c r="I207" t="inlineStr">
        <is>
          <t>Van</t>
        </is>
      </c>
      <c r="J207" t="inlineStr">
        <is>
          <t>Critical</t>
        </is>
      </c>
      <c r="K207" t="inlineStr">
        <is>
          <t>Delivered</t>
        </is>
      </c>
      <c r="L207" t="n">
        <v>2042.85</v>
      </c>
      <c r="M207" t="n">
        <v>327</v>
      </c>
      <c r="N207" t="n">
        <v>34.17</v>
      </c>
      <c r="O207" t="n">
        <v>1782.15</v>
      </c>
      <c r="P207" t="n">
        <v>683.1900000000001</v>
      </c>
      <c r="Q207">
        <f>ROUND(L207*M207*N207/1000+O207+P207,2)</f>
        <v/>
      </c>
      <c r="R207" t="inlineStr">
        <is>
          <t>No</t>
        </is>
      </c>
      <c r="S207">
        <f>IF(OR(E207="",D207=""),"",MAX(0,E207-D207))</f>
        <v/>
      </c>
      <c r="T207" t="inlineStr">
        <is>
          <t>Yes</t>
        </is>
      </c>
      <c r="U207" t="n">
        <v>14</v>
      </c>
      <c r="V207" t="inlineStr">
        <is>
          <t>Failed</t>
        </is>
      </c>
      <c r="W207" t="n">
        <v>4</v>
      </c>
      <c r="X207" t="inlineStr">
        <is>
          <t>None</t>
        </is>
      </c>
    </row>
    <row r="208">
      <c r="A208" t="inlineStr">
        <is>
          <t>ORD-2026-00207</t>
        </is>
      </c>
      <c r="B208" t="inlineStr">
        <is>
          <t>CUST-0172</t>
        </is>
      </c>
      <c r="C208" s="3" t="n">
        <v>46165</v>
      </c>
      <c r="D208" s="3" t="n">
        <v>46166</v>
      </c>
      <c r="E208" s="3" t="n">
        <v>46168</v>
      </c>
      <c r="F208" t="inlineStr">
        <is>
          <t>Jaipur</t>
        </is>
      </c>
      <c r="G208" t="inlineStr">
        <is>
          <t>Hyderabad</t>
        </is>
      </c>
      <c r="H208" t="inlineStr">
        <is>
          <t>FedEx</t>
        </is>
      </c>
      <c r="I208" t="inlineStr">
        <is>
          <t>Van</t>
        </is>
      </c>
      <c r="J208" t="inlineStr">
        <is>
          <t>Normal</t>
        </is>
      </c>
      <c r="K208" t="inlineStr">
        <is>
          <t>Delivered</t>
        </is>
      </c>
      <c r="L208" t="n">
        <v>2407.95</v>
      </c>
      <c r="M208" t="n">
        <v>2616</v>
      </c>
      <c r="N208" t="n">
        <v>25.36</v>
      </c>
      <c r="O208" t="n">
        <v>9664.77</v>
      </c>
      <c r="P208" t="n">
        <v>326.14</v>
      </c>
      <c r="Q208">
        <f>ROUND(L208*M208*N208/1000+O208+P208,2)</f>
        <v/>
      </c>
      <c r="R208" t="inlineStr">
        <is>
          <t>No</t>
        </is>
      </c>
      <c r="S208">
        <f>IF(OR(E208="",D208=""),"",MAX(0,E208-D208))</f>
        <v/>
      </c>
      <c r="T208" t="inlineStr">
        <is>
          <t>No</t>
        </is>
      </c>
      <c r="U208" t="n">
        <v>43</v>
      </c>
      <c r="V208" t="inlineStr">
        <is>
          <t>Failed</t>
        </is>
      </c>
      <c r="W208" t="n">
        <v>3</v>
      </c>
      <c r="X208" t="inlineStr">
        <is>
          <t>Damaged Package</t>
        </is>
      </c>
    </row>
    <row r="209">
      <c r="A209" t="inlineStr">
        <is>
          <t>ORD-2026-00208</t>
        </is>
      </c>
      <c r="B209" t="inlineStr">
        <is>
          <t>CUST-0134</t>
        </is>
      </c>
      <c r="C209" s="3" t="n">
        <v>46138</v>
      </c>
      <c r="D209" s="3" t="n">
        <v>46140</v>
      </c>
      <c r="E209" s="3" t="n">
        <v>46140</v>
      </c>
      <c r="F209" t="inlineStr">
        <is>
          <t>Hyderabad</t>
        </is>
      </c>
      <c r="G209" t="inlineStr">
        <is>
          <t>Mumbai</t>
        </is>
      </c>
      <c r="H209" t="inlineStr">
        <is>
          <t>BlueDart</t>
        </is>
      </c>
      <c r="I209" t="inlineStr">
        <is>
          <t>Truck</t>
        </is>
      </c>
      <c r="J209" t="inlineStr">
        <is>
          <t>Critical</t>
        </is>
      </c>
      <c r="K209" t="inlineStr">
        <is>
          <t>Delivered</t>
        </is>
      </c>
      <c r="L209" t="n">
        <v>5.99</v>
      </c>
      <c r="M209" t="n">
        <v>1459</v>
      </c>
      <c r="N209" t="n">
        <v>55.3</v>
      </c>
      <c r="O209" t="n">
        <v>42.46</v>
      </c>
      <c r="P209" t="n">
        <v>452.14</v>
      </c>
      <c r="Q209">
        <f>ROUND(L209*M209*N209/1000+O209+P209,2)</f>
        <v/>
      </c>
      <c r="R209" t="inlineStr">
        <is>
          <t>Yes</t>
        </is>
      </c>
      <c r="S209">
        <f>IF(OR(E209="",D209=""),"",MAX(0,E209-D209))</f>
        <v/>
      </c>
      <c r="T209" t="inlineStr">
        <is>
          <t>Yes</t>
        </is>
      </c>
      <c r="U209" t="n">
        <v>53</v>
      </c>
      <c r="V209" t="inlineStr">
        <is>
          <t>Paid</t>
        </is>
      </c>
      <c r="W209" t="n">
        <v>3</v>
      </c>
      <c r="X209" t="inlineStr">
        <is>
          <t>Customs</t>
        </is>
      </c>
    </row>
    <row r="210">
      <c r="A210" t="inlineStr">
        <is>
          <t>ORD-2026-00209</t>
        </is>
      </c>
      <c r="B210" t="inlineStr">
        <is>
          <t>CUST-0238</t>
        </is>
      </c>
      <c r="C210" s="3" t="n">
        <v>46073</v>
      </c>
      <c r="D210" s="3" t="n">
        <v>46077</v>
      </c>
      <c r="E210" s="3" t="n">
        <v>46077</v>
      </c>
      <c r="F210" t="inlineStr">
        <is>
          <t>Kolkata</t>
        </is>
      </c>
      <c r="G210" t="inlineStr">
        <is>
          <t>Mumbai</t>
        </is>
      </c>
      <c r="H210" t="inlineStr">
        <is>
          <t>Aramex</t>
        </is>
      </c>
      <c r="I210" t="inlineStr">
        <is>
          <t>Container</t>
        </is>
      </c>
      <c r="J210" t="inlineStr">
        <is>
          <t>Critical</t>
        </is>
      </c>
      <c r="K210" t="inlineStr">
        <is>
          <t>Delivered</t>
        </is>
      </c>
      <c r="L210" t="n">
        <v>539.37</v>
      </c>
      <c r="M210" t="n">
        <v>785</v>
      </c>
      <c r="N210" t="n">
        <v>48.86</v>
      </c>
      <c r="O210" t="n">
        <v>754.39</v>
      </c>
      <c r="P210" t="n">
        <v>633.42</v>
      </c>
      <c r="Q210">
        <f>ROUND(L210*M210*N210/1000+O210+P210,2)</f>
        <v/>
      </c>
      <c r="R210" t="inlineStr">
        <is>
          <t>Yes</t>
        </is>
      </c>
      <c r="S210">
        <f>IF(OR(E210="",D210=""),"",MAX(0,E210-D210))</f>
        <v/>
      </c>
      <c r="T210" t="inlineStr">
        <is>
          <t>Yes</t>
        </is>
      </c>
      <c r="U210" t="n">
        <v>64</v>
      </c>
      <c r="V210" t="inlineStr">
        <is>
          <t>Paid</t>
        </is>
      </c>
      <c r="W210" t="n">
        <v>5</v>
      </c>
      <c r="X210" t="inlineStr">
        <is>
          <t>Damaged Package</t>
        </is>
      </c>
    </row>
    <row r="211">
      <c r="A211" t="inlineStr">
        <is>
          <t>ORD-2026-00210</t>
        </is>
      </c>
      <c r="B211" t="inlineStr">
        <is>
          <t>CUST-0027</t>
        </is>
      </c>
      <c r="C211" s="3" t="n">
        <v>46035</v>
      </c>
      <c r="D211" s="3" t="n">
        <v>46042</v>
      </c>
      <c r="E211" s="3" t="n">
        <v>46045</v>
      </c>
      <c r="F211" t="inlineStr">
        <is>
          <t>Chennai</t>
        </is>
      </c>
      <c r="G211" t="inlineStr">
        <is>
          <t>Kolkata</t>
        </is>
      </c>
      <c r="H211" t="inlineStr">
        <is>
          <t>DTDC</t>
        </is>
      </c>
      <c r="I211" t="inlineStr">
        <is>
          <t>Refrigerated Truck</t>
        </is>
      </c>
      <c r="J211" t="inlineStr">
        <is>
          <t>Critical</t>
        </is>
      </c>
      <c r="K211" t="inlineStr">
        <is>
          <t>Delivered</t>
        </is>
      </c>
      <c r="L211" t="n">
        <v>1271.08</v>
      </c>
      <c r="M211" t="n">
        <v>730</v>
      </c>
      <c r="N211" t="n">
        <v>47.43</v>
      </c>
      <c r="O211" t="n">
        <v>1778.83</v>
      </c>
      <c r="P211" t="n">
        <v>1226.56</v>
      </c>
      <c r="Q211">
        <f>ROUND(L211*M211*N211/1000+O211+P211,2)</f>
        <v/>
      </c>
      <c r="R211" t="inlineStr">
        <is>
          <t>No</t>
        </is>
      </c>
      <c r="S211">
        <f>IF(OR(E211="",D211=""),"",MAX(0,E211-D211))</f>
        <v/>
      </c>
      <c r="T211" t="inlineStr">
        <is>
          <t>No</t>
        </is>
      </c>
      <c r="U211" t="n">
        <v>78</v>
      </c>
      <c r="V211" t="inlineStr">
        <is>
          <t>Pending</t>
        </is>
      </c>
      <c r="W211" t="n">
        <v>3</v>
      </c>
      <c r="X211" t="inlineStr">
        <is>
          <t>Weather</t>
        </is>
      </c>
    </row>
    <row r="212">
      <c r="A212" t="inlineStr">
        <is>
          <t>ORD-2026-00211</t>
        </is>
      </c>
      <c r="B212" t="inlineStr">
        <is>
          <t>CUST-0183</t>
        </is>
      </c>
      <c r="C212" s="3" t="n">
        <v>46110</v>
      </c>
      <c r="D212" s="3" t="n">
        <v>46115</v>
      </c>
      <c r="E212" s="3" t="n">
        <v>46115</v>
      </c>
      <c r="F212" t="inlineStr">
        <is>
          <t>Surat</t>
        </is>
      </c>
      <c r="G212" t="inlineStr">
        <is>
          <t>Bengaluru</t>
        </is>
      </c>
      <c r="H212" t="inlineStr">
        <is>
          <t>DHL</t>
        </is>
      </c>
      <c r="I212" t="inlineStr">
        <is>
          <t>Truck</t>
        </is>
      </c>
      <c r="J212" t="inlineStr">
        <is>
          <t>High</t>
        </is>
      </c>
      <c r="K212" t="inlineStr">
        <is>
          <t>Delivered</t>
        </is>
      </c>
      <c r="L212" t="n">
        <v>1032.16</v>
      </c>
      <c r="M212" t="n">
        <v>2103</v>
      </c>
      <c r="N212" t="n">
        <v>25.04</v>
      </c>
      <c r="O212" t="n">
        <v>3918.26</v>
      </c>
      <c r="P212" t="n">
        <v>1293.85</v>
      </c>
      <c r="Q212">
        <f>ROUND(L212*M212*N212/1000+O212+P212,2)</f>
        <v/>
      </c>
      <c r="R212" t="inlineStr">
        <is>
          <t>Yes</t>
        </is>
      </c>
      <c r="S212">
        <f>IF(OR(E212="",D212=""),"",MAX(0,E212-D212))</f>
        <v/>
      </c>
      <c r="T212" t="inlineStr">
        <is>
          <t>No</t>
        </is>
      </c>
      <c r="U212" t="n">
        <v>17</v>
      </c>
      <c r="V212" t="inlineStr">
        <is>
          <t>Pending</t>
        </is>
      </c>
      <c r="W212" t="n">
        <v>5</v>
      </c>
      <c r="X212" t="inlineStr">
        <is>
          <t>Customs</t>
        </is>
      </c>
    </row>
    <row r="213">
      <c r="A213" t="inlineStr">
        <is>
          <t>ORD-2026-00212</t>
        </is>
      </c>
      <c r="B213" t="inlineStr">
        <is>
          <t>CUST-0192</t>
        </is>
      </c>
      <c r="C213" s="3" t="n">
        <v>46200</v>
      </c>
      <c r="D213" s="3" t="n">
        <v>46206</v>
      </c>
      <c r="E213" s="3" t="n">
        <v>46207</v>
      </c>
      <c r="F213" t="inlineStr">
        <is>
          <t>Surat</t>
        </is>
      </c>
      <c r="G213" t="inlineStr">
        <is>
          <t>Pune</t>
        </is>
      </c>
      <c r="H213" t="inlineStr">
        <is>
          <t>Aramex</t>
        </is>
      </c>
      <c r="I213" t="inlineStr">
        <is>
          <t>Container</t>
        </is>
      </c>
      <c r="J213" t="inlineStr">
        <is>
          <t>Low</t>
        </is>
      </c>
      <c r="K213" t="inlineStr">
        <is>
          <t>Delivered</t>
        </is>
      </c>
      <c r="L213" t="n">
        <v>1405.92</v>
      </c>
      <c r="M213" t="n">
        <v>2392</v>
      </c>
      <c r="N213" t="n">
        <v>40.53</v>
      </c>
      <c r="O213" t="n">
        <v>9545.07</v>
      </c>
      <c r="P213" t="n">
        <v>637.87</v>
      </c>
      <c r="Q213">
        <f>ROUND(L213*M213*N213/1000+O213+P213,2)</f>
        <v/>
      </c>
      <c r="R213" t="inlineStr">
        <is>
          <t>No</t>
        </is>
      </c>
      <c r="S213">
        <f>IF(OR(E213="",D213=""),"",MAX(0,E213-D213))</f>
        <v/>
      </c>
      <c r="T213" t="inlineStr">
        <is>
          <t>Yes</t>
        </is>
      </c>
      <c r="U213" t="n">
        <v>4</v>
      </c>
      <c r="V213" t="inlineStr">
        <is>
          <t>Failed</t>
        </is>
      </c>
      <c r="W213" t="n">
        <v>2</v>
      </c>
      <c r="X213" t="inlineStr">
        <is>
          <t>None</t>
        </is>
      </c>
    </row>
    <row r="214">
      <c r="A214" t="inlineStr">
        <is>
          <t>ORD-2026-00213</t>
        </is>
      </c>
      <c r="B214" t="inlineStr">
        <is>
          <t>CUST-0201</t>
        </is>
      </c>
      <c r="C214" s="3" t="n">
        <v>46194</v>
      </c>
      <c r="D214" s="3" t="n">
        <v>46195</v>
      </c>
      <c r="E214" s="3" t="n">
        <v>46195</v>
      </c>
      <c r="F214" t="inlineStr">
        <is>
          <t>Pune</t>
        </is>
      </c>
      <c r="G214" t="inlineStr">
        <is>
          <t>Bengaluru</t>
        </is>
      </c>
      <c r="H214" t="inlineStr">
        <is>
          <t>Aramex</t>
        </is>
      </c>
      <c r="I214" t="inlineStr">
        <is>
          <t>Bike</t>
        </is>
      </c>
      <c r="J214" t="inlineStr">
        <is>
          <t>Low</t>
        </is>
      </c>
      <c r="K214" t="inlineStr">
        <is>
          <t>Delivered</t>
        </is>
      </c>
      <c r="L214" t="n">
        <v>402.76</v>
      </c>
      <c r="M214" t="n">
        <v>1178</v>
      </c>
      <c r="N214" t="n">
        <v>46.95</v>
      </c>
      <c r="O214" t="n">
        <v>863.97</v>
      </c>
      <c r="P214" t="n">
        <v>111.81</v>
      </c>
      <c r="Q214">
        <f>ROUND(L214*M214*N214/1000+O214+P214,2)</f>
        <v/>
      </c>
      <c r="R214" t="inlineStr">
        <is>
          <t>Yes</t>
        </is>
      </c>
      <c r="S214">
        <f>IF(OR(E214="",D214=""),"",MAX(0,E214-D214))</f>
        <v/>
      </c>
      <c r="T214" t="inlineStr">
        <is>
          <t>No</t>
        </is>
      </c>
      <c r="U214" t="n">
        <v>58</v>
      </c>
      <c r="V214" t="inlineStr">
        <is>
          <t>Paid</t>
        </is>
      </c>
      <c r="W214" t="n">
        <v>5</v>
      </c>
      <c r="X214" t="inlineStr">
        <is>
          <t>Customer Unavailable</t>
        </is>
      </c>
    </row>
    <row r="215">
      <c r="A215" t="inlineStr">
        <is>
          <t>ORD-2026-00214</t>
        </is>
      </c>
      <c r="B215" t="inlineStr">
        <is>
          <t>CUST-0107</t>
        </is>
      </c>
      <c r="C215" s="3" t="n">
        <v>46195</v>
      </c>
      <c r="D215" s="3" t="n">
        <v>46199</v>
      </c>
      <c r="E215" s="3" t="n">
        <v>46201</v>
      </c>
      <c r="F215" t="inlineStr">
        <is>
          <t>Hyderabad</t>
        </is>
      </c>
      <c r="G215" t="inlineStr">
        <is>
          <t>Surat</t>
        </is>
      </c>
      <c r="H215" t="inlineStr">
        <is>
          <t>BlueDart</t>
        </is>
      </c>
      <c r="I215" t="inlineStr">
        <is>
          <t>Van</t>
        </is>
      </c>
      <c r="J215" t="inlineStr">
        <is>
          <t>High</t>
        </is>
      </c>
      <c r="K215" t="inlineStr">
        <is>
          <t>Delivered</t>
        </is>
      </c>
      <c r="L215" t="n">
        <v>594.37</v>
      </c>
      <c r="M215" t="n">
        <v>1183</v>
      </c>
      <c r="N215" t="n">
        <v>47.5</v>
      </c>
      <c r="O215" t="n">
        <v>1096.12</v>
      </c>
      <c r="P215" t="n">
        <v>584.74</v>
      </c>
      <c r="Q215">
        <f>ROUND(L215*M215*N215/1000+O215+P215,2)</f>
        <v/>
      </c>
      <c r="R215" t="inlineStr">
        <is>
          <t>No</t>
        </is>
      </c>
      <c r="S215">
        <f>IF(OR(E215="",D215=""),"",MAX(0,E215-D215))</f>
        <v/>
      </c>
      <c r="T215" t="inlineStr">
        <is>
          <t>Yes</t>
        </is>
      </c>
      <c r="U215" t="n">
        <v>80</v>
      </c>
      <c r="V215" t="inlineStr">
        <is>
          <t>Failed</t>
        </is>
      </c>
      <c r="W215" t="n">
        <v>2</v>
      </c>
      <c r="X215" t="inlineStr">
        <is>
          <t>Damaged Package</t>
        </is>
      </c>
    </row>
    <row r="216">
      <c r="A216" t="inlineStr">
        <is>
          <t>ORD-2026-00215</t>
        </is>
      </c>
      <c r="B216" t="inlineStr">
        <is>
          <t>CUST-0048</t>
        </is>
      </c>
      <c r="C216" s="3" t="n">
        <v>46203</v>
      </c>
      <c r="D216" s="3" t="n">
        <v>46209</v>
      </c>
      <c r="E216" s="3" t="n">
        <v>46211</v>
      </c>
      <c r="F216" t="inlineStr">
        <is>
          <t>Delhi</t>
        </is>
      </c>
      <c r="G216" t="inlineStr">
        <is>
          <t>Surat</t>
        </is>
      </c>
      <c r="H216" t="inlineStr">
        <is>
          <t>BlueDart</t>
        </is>
      </c>
      <c r="I216" t="inlineStr">
        <is>
          <t>Container</t>
        </is>
      </c>
      <c r="J216" t="inlineStr">
        <is>
          <t>Low</t>
        </is>
      </c>
      <c r="K216" t="inlineStr">
        <is>
          <t>Delivered</t>
        </is>
      </c>
      <c r="L216" t="n">
        <v>1508.67</v>
      </c>
      <c r="M216" t="n">
        <v>797</v>
      </c>
      <c r="N216" t="n">
        <v>24.77</v>
      </c>
      <c r="O216" t="n">
        <v>1210.57</v>
      </c>
      <c r="P216" t="n">
        <v>1030.34</v>
      </c>
      <c r="Q216">
        <f>ROUND(L216*M216*N216/1000+O216+P216,2)</f>
        <v/>
      </c>
      <c r="R216" t="inlineStr">
        <is>
          <t>No</t>
        </is>
      </c>
      <c r="S216">
        <f>IF(OR(E216="",D216=""),"",MAX(0,E216-D216))</f>
        <v/>
      </c>
      <c r="T216" t="inlineStr">
        <is>
          <t>No</t>
        </is>
      </c>
      <c r="U216" t="n">
        <v>36</v>
      </c>
      <c r="V216" t="inlineStr">
        <is>
          <t>COD</t>
        </is>
      </c>
      <c r="W216" t="n">
        <v>2</v>
      </c>
      <c r="X216" t="inlineStr">
        <is>
          <t>Address Error</t>
        </is>
      </c>
    </row>
    <row r="217">
      <c r="A217" t="inlineStr">
        <is>
          <t>ORD-2026-00216</t>
        </is>
      </c>
      <c r="B217" t="inlineStr">
        <is>
          <t>CUST-0239</t>
        </is>
      </c>
      <c r="C217" s="3" t="n">
        <v>46172</v>
      </c>
      <c r="D217" s="3" t="n">
        <v>46177</v>
      </c>
      <c r="E217" s="3" t="n">
        <v>46177</v>
      </c>
      <c r="F217" t="inlineStr">
        <is>
          <t>Kolkata</t>
        </is>
      </c>
      <c r="G217" t="inlineStr">
        <is>
          <t>Pune</t>
        </is>
      </c>
      <c r="H217" t="inlineStr">
        <is>
          <t>Delhivery</t>
        </is>
      </c>
      <c r="I217" t="inlineStr">
        <is>
          <t>Bike</t>
        </is>
      </c>
      <c r="J217" t="inlineStr">
        <is>
          <t>High</t>
        </is>
      </c>
      <c r="K217" t="inlineStr">
        <is>
          <t>Delivered</t>
        </is>
      </c>
      <c r="L217" t="n">
        <v>2343.77</v>
      </c>
      <c r="M217" t="n">
        <v>168</v>
      </c>
      <c r="N217" t="n">
        <v>16.76</v>
      </c>
      <c r="O217" t="n">
        <v>325.73</v>
      </c>
      <c r="P217" t="n">
        <v>95.27</v>
      </c>
      <c r="Q217">
        <f>ROUND(L217*M217*N217/1000+O217+P217,2)</f>
        <v/>
      </c>
      <c r="R217" t="inlineStr">
        <is>
          <t>Yes</t>
        </is>
      </c>
      <c r="S217">
        <f>IF(OR(E217="",D217=""),"",MAX(0,E217-D217))</f>
        <v/>
      </c>
      <c r="T217" t="inlineStr">
        <is>
          <t>Yes</t>
        </is>
      </c>
      <c r="U217" t="n">
        <v>41</v>
      </c>
      <c r="V217" t="inlineStr">
        <is>
          <t>Pending</t>
        </is>
      </c>
      <c r="W217" t="n">
        <v>2</v>
      </c>
      <c r="X217" t="inlineStr">
        <is>
          <t>Customs</t>
        </is>
      </c>
    </row>
    <row r="218">
      <c r="A218" t="inlineStr">
        <is>
          <t>ORD-2026-00217</t>
        </is>
      </c>
      <c r="B218" t="inlineStr">
        <is>
          <t>CUST-0076</t>
        </is>
      </c>
      <c r="C218" s="3" t="n">
        <v>46040</v>
      </c>
      <c r="D218" s="3" t="n">
        <v>46043</v>
      </c>
      <c r="E218" s="3" t="n">
        <v>46043</v>
      </c>
      <c r="F218" t="inlineStr">
        <is>
          <t>Bengaluru</t>
        </is>
      </c>
      <c r="G218" t="inlineStr">
        <is>
          <t>Kolkata</t>
        </is>
      </c>
      <c r="H218" t="inlineStr">
        <is>
          <t>DTDC</t>
        </is>
      </c>
      <c r="I218" t="inlineStr">
        <is>
          <t>Container</t>
        </is>
      </c>
      <c r="J218" t="inlineStr">
        <is>
          <t>Low</t>
        </is>
      </c>
      <c r="K218" t="inlineStr">
        <is>
          <t>Delivered</t>
        </is>
      </c>
      <c r="L218" t="n">
        <v>230.32</v>
      </c>
      <c r="M218" t="n">
        <v>911</v>
      </c>
      <c r="N218" t="n">
        <v>58.35</v>
      </c>
      <c r="O218" t="n">
        <v>854.5700000000001</v>
      </c>
      <c r="P218" t="n">
        <v>509.98</v>
      </c>
      <c r="Q218">
        <f>ROUND(L218*M218*N218/1000+O218+P218,2)</f>
        <v/>
      </c>
      <c r="R218" t="inlineStr">
        <is>
          <t>Yes</t>
        </is>
      </c>
      <c r="S218">
        <f>IF(OR(E218="",D218=""),"",MAX(0,E218-D218))</f>
        <v/>
      </c>
      <c r="T218" t="inlineStr">
        <is>
          <t>Yes</t>
        </is>
      </c>
      <c r="U218" t="n">
        <v>45</v>
      </c>
      <c r="V218" t="inlineStr">
        <is>
          <t>Failed</t>
        </is>
      </c>
      <c r="W218" t="n">
        <v>2</v>
      </c>
      <c r="X218" t="inlineStr">
        <is>
          <t>Damaged Package</t>
        </is>
      </c>
    </row>
    <row r="219">
      <c r="A219" t="inlineStr">
        <is>
          <t>ORD-2026-00218</t>
        </is>
      </c>
      <c r="B219" t="inlineStr">
        <is>
          <t>CUST-0234</t>
        </is>
      </c>
      <c r="C219" s="3" t="n">
        <v>46180</v>
      </c>
      <c r="D219" s="3" t="n">
        <v>46184</v>
      </c>
      <c r="E219" s="3" t="n">
        <v>46189</v>
      </c>
      <c r="F219" t="inlineStr">
        <is>
          <t>Surat</t>
        </is>
      </c>
      <c r="G219" t="inlineStr">
        <is>
          <t>Hyderabad</t>
        </is>
      </c>
      <c r="H219" t="inlineStr">
        <is>
          <t>DTDC</t>
        </is>
      </c>
      <c r="I219" t="inlineStr">
        <is>
          <t>Bike</t>
        </is>
      </c>
      <c r="J219" t="inlineStr">
        <is>
          <t>Critical</t>
        </is>
      </c>
      <c r="K219" t="inlineStr">
        <is>
          <t>Delivered</t>
        </is>
      </c>
      <c r="L219" t="n">
        <v>802.6799999999999</v>
      </c>
      <c r="M219" t="n">
        <v>469</v>
      </c>
      <c r="N219" t="n">
        <v>29.99</v>
      </c>
      <c r="O219" t="n">
        <v>704.65</v>
      </c>
      <c r="P219" t="n">
        <v>438.59</v>
      </c>
      <c r="Q219">
        <f>ROUND(L219*M219*N219/1000+O219+P219,2)</f>
        <v/>
      </c>
      <c r="R219" t="inlineStr">
        <is>
          <t>No</t>
        </is>
      </c>
      <c r="S219">
        <f>IF(OR(E219="",D219=""),"",MAX(0,E219-D219))</f>
        <v/>
      </c>
      <c r="T219" t="inlineStr">
        <is>
          <t>No</t>
        </is>
      </c>
      <c r="U219" t="n">
        <v>6</v>
      </c>
      <c r="V219" t="inlineStr">
        <is>
          <t>COD</t>
        </is>
      </c>
      <c r="W219" t="n">
        <v>2</v>
      </c>
      <c r="X219" t="inlineStr">
        <is>
          <t>Vehicle Breakdown</t>
        </is>
      </c>
    </row>
    <row r="220">
      <c r="A220" t="inlineStr">
        <is>
          <t>ORD-2026-00219</t>
        </is>
      </c>
      <c r="B220" t="inlineStr">
        <is>
          <t>CUST-0162</t>
        </is>
      </c>
      <c r="C220" s="3" t="n">
        <v>46154</v>
      </c>
      <c r="D220" s="3" t="n">
        <v>46156</v>
      </c>
      <c r="E220" s="3" t="n">
        <v>46161</v>
      </c>
      <c r="F220" t="inlineStr">
        <is>
          <t>Bengaluru</t>
        </is>
      </c>
      <c r="G220" t="inlineStr">
        <is>
          <t>Chennai</t>
        </is>
      </c>
      <c r="H220" t="inlineStr">
        <is>
          <t>Aramex</t>
        </is>
      </c>
      <c r="I220" t="inlineStr">
        <is>
          <t>Van</t>
        </is>
      </c>
      <c r="J220" t="inlineStr">
        <is>
          <t>Normal</t>
        </is>
      </c>
      <c r="K220" t="inlineStr">
        <is>
          <t>Delivered</t>
        </is>
      </c>
      <c r="L220" t="n">
        <v>2390.71</v>
      </c>
      <c r="M220" t="n">
        <v>2208</v>
      </c>
      <c r="N220" t="n">
        <v>38.39</v>
      </c>
      <c r="O220" t="n">
        <v>13702.3</v>
      </c>
      <c r="P220" t="n">
        <v>331.96</v>
      </c>
      <c r="Q220">
        <f>ROUND(L220*M220*N220/1000+O220+P220,2)</f>
        <v/>
      </c>
      <c r="R220" t="inlineStr">
        <is>
          <t>No</t>
        </is>
      </c>
      <c r="S220">
        <f>IF(OR(E220="",D220=""),"",MAX(0,E220-D220))</f>
        <v/>
      </c>
      <c r="T220" t="inlineStr">
        <is>
          <t>No</t>
        </is>
      </c>
      <c r="U220" t="n">
        <v>10</v>
      </c>
      <c r="V220" t="inlineStr">
        <is>
          <t>Pending</t>
        </is>
      </c>
      <c r="W220" t="n">
        <v>1</v>
      </c>
      <c r="X220" t="inlineStr">
        <is>
          <t>Weather</t>
        </is>
      </c>
    </row>
    <row r="221">
      <c r="A221" t="inlineStr">
        <is>
          <t>ORD-2026-00220</t>
        </is>
      </c>
      <c r="B221" t="inlineStr">
        <is>
          <t>CUST-0105</t>
        </is>
      </c>
      <c r="C221" s="3" t="n">
        <v>46206</v>
      </c>
      <c r="D221" s="3" t="n">
        <v>46212</v>
      </c>
      <c r="E221" s="3" t="n"/>
      <c r="F221" t="inlineStr">
        <is>
          <t>Chennai</t>
        </is>
      </c>
      <c r="G221" t="inlineStr">
        <is>
          <t>Jaipur</t>
        </is>
      </c>
      <c r="H221" t="inlineStr">
        <is>
          <t>Maersk</t>
        </is>
      </c>
      <c r="I221" t="inlineStr">
        <is>
          <t>Container</t>
        </is>
      </c>
      <c r="J221" t="inlineStr">
        <is>
          <t>Critical</t>
        </is>
      </c>
      <c r="K221" t="inlineStr">
        <is>
          <t>Booked</t>
        </is>
      </c>
      <c r="L221" t="n">
        <v>1985.64</v>
      </c>
      <c r="M221" t="n">
        <v>2290</v>
      </c>
      <c r="N221" t="n">
        <v>12.02</v>
      </c>
      <c r="O221" t="n">
        <v>4334.09</v>
      </c>
      <c r="P221" t="n">
        <v>1368.26</v>
      </c>
      <c r="Q221">
        <f>ROUND(L221*M221*N221/1000+O221+P221,2)</f>
        <v/>
      </c>
      <c r="R221" t="inlineStr">
        <is>
          <t>No</t>
        </is>
      </c>
      <c r="S221">
        <f>IF(OR(E221="",D221=""),"",MAX(0,E221-D221))</f>
        <v/>
      </c>
      <c r="T221" t="inlineStr">
        <is>
          <t>No</t>
        </is>
      </c>
      <c r="U221" t="n">
        <v>3</v>
      </c>
      <c r="V221" t="inlineStr">
        <is>
          <t>Failed</t>
        </is>
      </c>
      <c r="W221" t="n">
        <v>1</v>
      </c>
      <c r="X221" t="inlineStr">
        <is>
          <t>Customs</t>
        </is>
      </c>
    </row>
    <row r="222">
      <c r="A222" t="inlineStr">
        <is>
          <t>ORD-2026-00221</t>
        </is>
      </c>
      <c r="B222" t="inlineStr">
        <is>
          <t>CUST-0176</t>
        </is>
      </c>
      <c r="C222" s="3" t="n">
        <v>46024</v>
      </c>
      <c r="D222" s="3" t="n">
        <v>46026</v>
      </c>
      <c r="E222" s="3" t="n">
        <v>46028</v>
      </c>
      <c r="F222" t="inlineStr">
        <is>
          <t>Pune</t>
        </is>
      </c>
      <c r="G222" t="inlineStr">
        <is>
          <t>Kolkata</t>
        </is>
      </c>
      <c r="H222" t="inlineStr">
        <is>
          <t>BlueDart</t>
        </is>
      </c>
      <c r="I222" t="inlineStr">
        <is>
          <t>Refrigerated Truck</t>
        </is>
      </c>
      <c r="J222" t="inlineStr">
        <is>
          <t>Critical</t>
        </is>
      </c>
      <c r="K222" t="inlineStr">
        <is>
          <t>Delivered</t>
        </is>
      </c>
      <c r="L222" t="n">
        <v>1752.35</v>
      </c>
      <c r="M222" t="n">
        <v>302</v>
      </c>
      <c r="N222" t="n">
        <v>28.39</v>
      </c>
      <c r="O222" t="n">
        <v>904.01</v>
      </c>
      <c r="P222" t="n">
        <v>448.96</v>
      </c>
      <c r="Q222">
        <f>ROUND(L222*M222*N222/1000+O222+P222,2)</f>
        <v/>
      </c>
      <c r="R222" t="inlineStr">
        <is>
          <t>No</t>
        </is>
      </c>
      <c r="S222">
        <f>IF(OR(E222="",D222=""),"",MAX(0,E222-D222))</f>
        <v/>
      </c>
      <c r="T222" t="inlineStr">
        <is>
          <t>No</t>
        </is>
      </c>
      <c r="U222" t="n">
        <v>51</v>
      </c>
      <c r="V222" t="inlineStr">
        <is>
          <t>Paid</t>
        </is>
      </c>
      <c r="W222" t="n">
        <v>4</v>
      </c>
      <c r="X222" t="inlineStr">
        <is>
          <t>Address Error</t>
        </is>
      </c>
    </row>
    <row r="223">
      <c r="A223" t="inlineStr">
        <is>
          <t>ORD-2026-00222</t>
        </is>
      </c>
      <c r="B223" t="inlineStr">
        <is>
          <t>CUST-0228</t>
        </is>
      </c>
      <c r="C223" s="3" t="n">
        <v>46159</v>
      </c>
      <c r="D223" s="3" t="n">
        <v>46163</v>
      </c>
      <c r="E223" s="3" t="n">
        <v>46163</v>
      </c>
      <c r="F223" t="inlineStr">
        <is>
          <t>Hyderabad</t>
        </is>
      </c>
      <c r="G223" t="inlineStr">
        <is>
          <t>Ahmedabad</t>
        </is>
      </c>
      <c r="H223" t="inlineStr">
        <is>
          <t>DTDC</t>
        </is>
      </c>
      <c r="I223" t="inlineStr">
        <is>
          <t>Bike</t>
        </is>
      </c>
      <c r="J223" t="inlineStr">
        <is>
          <t>Normal</t>
        </is>
      </c>
      <c r="K223" t="inlineStr">
        <is>
          <t>Delivered</t>
        </is>
      </c>
      <c r="L223" t="n">
        <v>1993.81</v>
      </c>
      <c r="M223" t="n">
        <v>2240</v>
      </c>
      <c r="N223" t="n">
        <v>24.81</v>
      </c>
      <c r="O223" t="n">
        <v>7539.46</v>
      </c>
      <c r="P223" t="n">
        <v>461.12</v>
      </c>
      <c r="Q223">
        <f>ROUND(L223*M223*N223/1000+O223+P223,2)</f>
        <v/>
      </c>
      <c r="R223" t="inlineStr">
        <is>
          <t>Yes</t>
        </is>
      </c>
      <c r="S223">
        <f>IF(OR(E223="",D223=""),"",MAX(0,E223-D223))</f>
        <v/>
      </c>
      <c r="T223" t="inlineStr">
        <is>
          <t>Yes</t>
        </is>
      </c>
      <c r="U223" t="n">
        <v>6</v>
      </c>
      <c r="V223" t="inlineStr">
        <is>
          <t>Paid</t>
        </is>
      </c>
      <c r="W223" t="n">
        <v>5</v>
      </c>
      <c r="X223" t="inlineStr">
        <is>
          <t>Customs</t>
        </is>
      </c>
    </row>
    <row r="224">
      <c r="A224" t="inlineStr">
        <is>
          <t>ORD-2026-00223</t>
        </is>
      </c>
      <c r="B224" t="inlineStr">
        <is>
          <t>CUST-0037</t>
        </is>
      </c>
      <c r="C224" s="3" t="n">
        <v>46123</v>
      </c>
      <c r="D224" s="3" t="n">
        <v>46125</v>
      </c>
      <c r="E224" s="3" t="n">
        <v>46125</v>
      </c>
      <c r="F224" t="inlineStr">
        <is>
          <t>Delhi</t>
        </is>
      </c>
      <c r="G224" t="inlineStr">
        <is>
          <t>Delhi</t>
        </is>
      </c>
      <c r="H224" t="inlineStr">
        <is>
          <t>DHL</t>
        </is>
      </c>
      <c r="I224" t="inlineStr">
        <is>
          <t>Bike</t>
        </is>
      </c>
      <c r="J224" t="inlineStr">
        <is>
          <t>High</t>
        </is>
      </c>
      <c r="K224" t="inlineStr">
        <is>
          <t>Delivered</t>
        </is>
      </c>
      <c r="L224" t="n">
        <v>2258.91</v>
      </c>
      <c r="M224" t="n">
        <v>1413</v>
      </c>
      <c r="N224" t="n">
        <v>20.07</v>
      </c>
      <c r="O224" t="n">
        <v>5402.69</v>
      </c>
      <c r="P224" t="n">
        <v>1280.16</v>
      </c>
      <c r="Q224">
        <f>ROUND(L224*M224*N224/1000+O224+P224,2)</f>
        <v/>
      </c>
      <c r="R224" t="inlineStr">
        <is>
          <t>Yes</t>
        </is>
      </c>
      <c r="S224">
        <f>IF(OR(E224="",D224=""),"",MAX(0,E224-D224))</f>
        <v/>
      </c>
      <c r="T224" t="inlineStr">
        <is>
          <t>Yes</t>
        </is>
      </c>
      <c r="U224" t="n">
        <v>15</v>
      </c>
      <c r="V224" t="inlineStr">
        <is>
          <t>Pending</t>
        </is>
      </c>
      <c r="W224" t="n">
        <v>5</v>
      </c>
      <c r="X224" t="inlineStr">
        <is>
          <t>Customer Unavailable</t>
        </is>
      </c>
    </row>
    <row r="225">
      <c r="A225" t="inlineStr">
        <is>
          <t>ORD-2026-00224</t>
        </is>
      </c>
      <c r="B225" t="inlineStr">
        <is>
          <t>CUST-0033</t>
        </is>
      </c>
      <c r="C225" s="3" t="n">
        <v>46036</v>
      </c>
      <c r="D225" s="3" t="n">
        <v>46044</v>
      </c>
      <c r="E225" s="3" t="n"/>
      <c r="F225" t="inlineStr">
        <is>
          <t>Bengaluru</t>
        </is>
      </c>
      <c r="G225" t="inlineStr">
        <is>
          <t>Mumbai</t>
        </is>
      </c>
      <c r="H225" t="inlineStr">
        <is>
          <t>FedEx</t>
        </is>
      </c>
      <c r="I225" t="inlineStr">
        <is>
          <t>Bike</t>
        </is>
      </c>
      <c r="J225" t="inlineStr">
        <is>
          <t>Low</t>
        </is>
      </c>
      <c r="K225" t="inlineStr">
        <is>
          <t>In Transit</t>
        </is>
      </c>
      <c r="L225" t="n">
        <v>627.09</v>
      </c>
      <c r="M225" t="n">
        <v>813</v>
      </c>
      <c r="N225" t="n">
        <v>49.36</v>
      </c>
      <c r="O225" t="n">
        <v>1490.55</v>
      </c>
      <c r="P225" t="n">
        <v>509.66</v>
      </c>
      <c r="Q225">
        <f>ROUND(L225*M225*N225/1000+O225+P225,2)</f>
        <v/>
      </c>
      <c r="R225" t="inlineStr">
        <is>
          <t>No</t>
        </is>
      </c>
      <c r="S225">
        <f>IF(OR(E225="",D225=""),"",MAX(0,E225-D225))</f>
        <v/>
      </c>
      <c r="T225" t="inlineStr">
        <is>
          <t>Yes</t>
        </is>
      </c>
      <c r="U225" t="n">
        <v>41</v>
      </c>
      <c r="V225" t="inlineStr">
        <is>
          <t>Failed</t>
        </is>
      </c>
      <c r="W225" t="n">
        <v>4</v>
      </c>
      <c r="X225" t="inlineStr">
        <is>
          <t>Vehicle Breakdown</t>
        </is>
      </c>
    </row>
    <row r="226">
      <c r="A226" t="inlineStr">
        <is>
          <t>ORD-2026-00225</t>
        </is>
      </c>
      <c r="B226" t="inlineStr">
        <is>
          <t>CUST-0202</t>
        </is>
      </c>
      <c r="C226" s="3" t="n">
        <v>46180</v>
      </c>
      <c r="D226" s="3" t="n">
        <v>46185</v>
      </c>
      <c r="E226" s="3" t="n">
        <v>46186</v>
      </c>
      <c r="F226" t="inlineStr">
        <is>
          <t>Bengaluru</t>
        </is>
      </c>
      <c r="G226" t="inlineStr">
        <is>
          <t>Chennai</t>
        </is>
      </c>
      <c r="H226" t="inlineStr">
        <is>
          <t>FedEx</t>
        </is>
      </c>
      <c r="I226" t="inlineStr">
        <is>
          <t>Refrigerated Truck</t>
        </is>
      </c>
      <c r="J226" t="inlineStr">
        <is>
          <t>Normal</t>
        </is>
      </c>
      <c r="K226" t="inlineStr">
        <is>
          <t>Delivered</t>
        </is>
      </c>
      <c r="L226" t="n">
        <v>1417.37</v>
      </c>
      <c r="M226" t="n">
        <v>1300</v>
      </c>
      <c r="N226" t="n">
        <v>62.64</v>
      </c>
      <c r="O226" t="n">
        <v>4630.43</v>
      </c>
      <c r="P226" t="n">
        <v>483.56</v>
      </c>
      <c r="Q226">
        <f>ROUND(L226*M226*N226/1000+O226+P226,2)</f>
        <v/>
      </c>
      <c r="R226" t="inlineStr">
        <is>
          <t>No</t>
        </is>
      </c>
      <c r="S226">
        <f>IF(OR(E226="",D226=""),"",MAX(0,E226-D226))</f>
        <v/>
      </c>
      <c r="T226" t="inlineStr">
        <is>
          <t>No</t>
        </is>
      </c>
      <c r="U226" t="n">
        <v>62</v>
      </c>
      <c r="V226" t="inlineStr">
        <is>
          <t>Failed</t>
        </is>
      </c>
      <c r="W226" t="n">
        <v>4</v>
      </c>
      <c r="X226" t="inlineStr">
        <is>
          <t>Vehicle Breakdown</t>
        </is>
      </c>
    </row>
    <row r="227">
      <c r="A227" t="inlineStr">
        <is>
          <t>ORD-2026-00226</t>
        </is>
      </c>
      <c r="B227" t="inlineStr">
        <is>
          <t>CUST-0138</t>
        </is>
      </c>
      <c r="C227" s="3" t="n">
        <v>46221</v>
      </c>
      <c r="D227" s="3" t="n">
        <v>46226</v>
      </c>
      <c r="E227" s="3" t="n">
        <v>46226</v>
      </c>
      <c r="F227" t="inlineStr">
        <is>
          <t>Bengaluru</t>
        </is>
      </c>
      <c r="G227" t="inlineStr">
        <is>
          <t>Pune</t>
        </is>
      </c>
      <c r="H227" t="inlineStr">
        <is>
          <t>Maersk</t>
        </is>
      </c>
      <c r="I227" t="inlineStr">
        <is>
          <t>Van</t>
        </is>
      </c>
      <c r="J227" t="inlineStr">
        <is>
          <t>Low</t>
        </is>
      </c>
      <c r="K227" t="inlineStr">
        <is>
          <t>Delivered</t>
        </is>
      </c>
      <c r="L227" t="n">
        <v>1614.06</v>
      </c>
      <c r="M227" t="n">
        <v>340</v>
      </c>
      <c r="N227" t="n">
        <v>55.98</v>
      </c>
      <c r="O227" t="n">
        <v>2504.44</v>
      </c>
      <c r="P227" t="n">
        <v>227.2</v>
      </c>
      <c r="Q227">
        <f>ROUND(L227*M227*N227/1000+O227+P227,2)</f>
        <v/>
      </c>
      <c r="R227" t="inlineStr">
        <is>
          <t>Yes</t>
        </is>
      </c>
      <c r="S227">
        <f>IF(OR(E227="",D227=""),"",MAX(0,E227-D227))</f>
        <v/>
      </c>
      <c r="T227" t="inlineStr">
        <is>
          <t>Yes</t>
        </is>
      </c>
      <c r="U227" t="n">
        <v>65</v>
      </c>
      <c r="V227" t="inlineStr">
        <is>
          <t>Paid</t>
        </is>
      </c>
      <c r="W227" t="n">
        <v>5</v>
      </c>
      <c r="X227" t="inlineStr">
        <is>
          <t>Customs</t>
        </is>
      </c>
    </row>
    <row r="228">
      <c r="A228" t="inlineStr">
        <is>
          <t>ORD-2026-00227</t>
        </is>
      </c>
      <c r="B228" t="inlineStr">
        <is>
          <t>CUST-0058</t>
        </is>
      </c>
      <c r="C228" s="3" t="n">
        <v>46126</v>
      </c>
      <c r="D228" s="3" t="n">
        <v>46130</v>
      </c>
      <c r="E228" s="3" t="n">
        <v>46135</v>
      </c>
      <c r="F228" t="inlineStr">
        <is>
          <t>Kolkata</t>
        </is>
      </c>
      <c r="G228" t="inlineStr">
        <is>
          <t>Pune</t>
        </is>
      </c>
      <c r="H228" t="inlineStr">
        <is>
          <t>DHL</t>
        </is>
      </c>
      <c r="I228" t="inlineStr">
        <is>
          <t>Container</t>
        </is>
      </c>
      <c r="J228" t="inlineStr">
        <is>
          <t>Low</t>
        </is>
      </c>
      <c r="K228" t="inlineStr">
        <is>
          <t>Delivered</t>
        </is>
      </c>
      <c r="L228" t="n">
        <v>1358.9</v>
      </c>
      <c r="M228" t="n">
        <v>2215</v>
      </c>
      <c r="N228" t="n">
        <v>34.91</v>
      </c>
      <c r="O228" t="n">
        <v>8039.7</v>
      </c>
      <c r="P228" t="n">
        <v>561.41</v>
      </c>
      <c r="Q228">
        <f>ROUND(L228*M228*N228/1000+O228+P228,2)</f>
        <v/>
      </c>
      <c r="R228" t="inlineStr">
        <is>
          <t>No</t>
        </is>
      </c>
      <c r="S228">
        <f>IF(OR(E228="",D228=""),"",MAX(0,E228-D228))</f>
        <v/>
      </c>
      <c r="T228" t="inlineStr">
        <is>
          <t>No</t>
        </is>
      </c>
      <c r="U228" t="n">
        <v>47</v>
      </c>
      <c r="V228" t="inlineStr">
        <is>
          <t>Paid</t>
        </is>
      </c>
      <c r="W228" t="n">
        <v>2</v>
      </c>
      <c r="X228" t="inlineStr">
        <is>
          <t>Customer Unavailable</t>
        </is>
      </c>
    </row>
    <row r="229">
      <c r="A229" t="inlineStr">
        <is>
          <t>ORD-2026-00228</t>
        </is>
      </c>
      <c r="B229" t="inlineStr">
        <is>
          <t>CUST-0189</t>
        </is>
      </c>
      <c r="C229" s="3" t="n">
        <v>46229</v>
      </c>
      <c r="D229" s="3" t="n">
        <v>46232</v>
      </c>
      <c r="E229" s="3" t="n">
        <v>46234</v>
      </c>
      <c r="F229" t="inlineStr">
        <is>
          <t>Jaipur</t>
        </is>
      </c>
      <c r="G229" t="inlineStr">
        <is>
          <t>Hyderabad</t>
        </is>
      </c>
      <c r="H229" t="inlineStr">
        <is>
          <t>BlueDart</t>
        </is>
      </c>
      <c r="I229" t="inlineStr">
        <is>
          <t>Truck</t>
        </is>
      </c>
      <c r="J229" t="inlineStr">
        <is>
          <t>Critical</t>
        </is>
      </c>
      <c r="K229" t="inlineStr">
        <is>
          <t>Delivered</t>
        </is>
      </c>
      <c r="L229" t="n">
        <v>398.48</v>
      </c>
      <c r="M229" t="n">
        <v>2324</v>
      </c>
      <c r="N229" t="n">
        <v>62.08</v>
      </c>
      <c r="O229" t="n">
        <v>3999.3</v>
      </c>
      <c r="P229" t="n">
        <v>1452.25</v>
      </c>
      <c r="Q229">
        <f>ROUND(L229*M229*N229/1000+O229+P229,2)</f>
        <v/>
      </c>
      <c r="R229" t="inlineStr">
        <is>
          <t>No</t>
        </is>
      </c>
      <c r="S229">
        <f>IF(OR(E229="",D229=""),"",MAX(0,E229-D229))</f>
        <v/>
      </c>
      <c r="T229" t="inlineStr">
        <is>
          <t>Yes</t>
        </is>
      </c>
      <c r="U229" t="n">
        <v>9</v>
      </c>
      <c r="V229" t="inlineStr">
        <is>
          <t>COD</t>
        </is>
      </c>
      <c r="W229" t="n">
        <v>3</v>
      </c>
      <c r="X229" t="inlineStr">
        <is>
          <t>Address Error</t>
        </is>
      </c>
    </row>
    <row r="230">
      <c r="A230" t="inlineStr">
        <is>
          <t>ORD-2026-00229</t>
        </is>
      </c>
      <c r="B230" t="inlineStr">
        <is>
          <t>CUST-0027</t>
        </is>
      </c>
      <c r="C230" s="3" t="n">
        <v>46033</v>
      </c>
      <c r="D230" s="3" t="n">
        <v>46037</v>
      </c>
      <c r="E230" s="3" t="n">
        <v>46037</v>
      </c>
      <c r="F230" t="inlineStr">
        <is>
          <t>Surat</t>
        </is>
      </c>
      <c r="G230" t="inlineStr">
        <is>
          <t>Pune</t>
        </is>
      </c>
      <c r="H230" t="inlineStr">
        <is>
          <t>Aramex</t>
        </is>
      </c>
      <c r="I230" t="inlineStr">
        <is>
          <t>Refrigerated Truck</t>
        </is>
      </c>
      <c r="J230" t="inlineStr">
        <is>
          <t>Normal</t>
        </is>
      </c>
      <c r="K230" t="inlineStr">
        <is>
          <t>Delivered</t>
        </is>
      </c>
      <c r="L230" t="n">
        <v>970.54</v>
      </c>
      <c r="M230" t="n">
        <v>1867</v>
      </c>
      <c r="N230" t="n">
        <v>58.25</v>
      </c>
      <c r="O230" t="n">
        <v>3419.18</v>
      </c>
      <c r="P230" t="n">
        <v>979.8200000000001</v>
      </c>
      <c r="Q230">
        <f>ROUND(L230*M230*N230/1000+O230+P230,2)</f>
        <v/>
      </c>
      <c r="R230" t="inlineStr">
        <is>
          <t>Yes</t>
        </is>
      </c>
      <c r="S230">
        <f>IF(OR(E230="",D230=""),"",MAX(0,E230-D230))</f>
        <v/>
      </c>
      <c r="T230" t="inlineStr">
        <is>
          <t>No</t>
        </is>
      </c>
      <c r="U230" t="n">
        <v>49</v>
      </c>
      <c r="V230" t="inlineStr">
        <is>
          <t>COD</t>
        </is>
      </c>
      <c r="W230" t="n">
        <v>5</v>
      </c>
      <c r="X230" t="inlineStr">
        <is>
          <t>Damaged Package</t>
        </is>
      </c>
    </row>
    <row r="231">
      <c r="A231" t="inlineStr">
        <is>
          <t>ORD-2026-00230</t>
        </is>
      </c>
      <c r="B231" t="inlineStr">
        <is>
          <t>CUST-0203</t>
        </is>
      </c>
      <c r="C231" s="3" t="n">
        <v>46236</v>
      </c>
      <c r="D231" s="3" t="n">
        <v>46238</v>
      </c>
      <c r="E231" s="3" t="n">
        <v>46238</v>
      </c>
      <c r="F231" t="inlineStr">
        <is>
          <t>Jaipur</t>
        </is>
      </c>
      <c r="G231" t="inlineStr">
        <is>
          <t>Kolkata</t>
        </is>
      </c>
      <c r="H231" t="inlineStr">
        <is>
          <t>BlueDart</t>
        </is>
      </c>
      <c r="I231" t="inlineStr">
        <is>
          <t>Bike</t>
        </is>
      </c>
      <c r="J231" t="inlineStr">
        <is>
          <t>Normal</t>
        </is>
      </c>
      <c r="K231" t="inlineStr">
        <is>
          <t>Delivered</t>
        </is>
      </c>
      <c r="L231" t="n">
        <v>2268.15</v>
      </c>
      <c r="M231" t="n">
        <v>2120</v>
      </c>
      <c r="N231" t="n">
        <v>31.13</v>
      </c>
      <c r="O231" t="n">
        <v>11830.47</v>
      </c>
      <c r="P231" t="n">
        <v>530.65</v>
      </c>
      <c r="Q231">
        <f>ROUND(L231*M231*N231/1000+O231+P231,2)</f>
        <v/>
      </c>
      <c r="R231" t="inlineStr">
        <is>
          <t>Yes</t>
        </is>
      </c>
      <c r="S231">
        <f>IF(OR(E231="",D231=""),"",MAX(0,E231-D231))</f>
        <v/>
      </c>
      <c r="T231" t="inlineStr">
        <is>
          <t>No</t>
        </is>
      </c>
      <c r="U231" t="n">
        <v>22</v>
      </c>
      <c r="V231" t="inlineStr">
        <is>
          <t>Pending</t>
        </is>
      </c>
      <c r="W231" t="n">
        <v>1</v>
      </c>
      <c r="X231" t="inlineStr">
        <is>
          <t>Customs</t>
        </is>
      </c>
    </row>
    <row r="232">
      <c r="A232" t="inlineStr">
        <is>
          <t>ORD-2026-00231</t>
        </is>
      </c>
      <c r="B232" t="inlineStr">
        <is>
          <t>CUST-0030</t>
        </is>
      </c>
      <c r="C232" s="3" t="n">
        <v>46187</v>
      </c>
      <c r="D232" s="3" t="n">
        <v>46192</v>
      </c>
      <c r="E232" s="3" t="n">
        <v>46192</v>
      </c>
      <c r="F232" t="inlineStr">
        <is>
          <t>Jaipur</t>
        </is>
      </c>
      <c r="G232" t="inlineStr">
        <is>
          <t>Jaipur</t>
        </is>
      </c>
      <c r="H232" t="inlineStr">
        <is>
          <t>Delhivery</t>
        </is>
      </c>
      <c r="I232" t="inlineStr">
        <is>
          <t>Truck</t>
        </is>
      </c>
      <c r="J232" t="inlineStr">
        <is>
          <t>Normal</t>
        </is>
      </c>
      <c r="K232" t="inlineStr">
        <is>
          <t>Delivered</t>
        </is>
      </c>
      <c r="L232" t="n">
        <v>905.88</v>
      </c>
      <c r="M232" t="n">
        <v>489</v>
      </c>
      <c r="N232" t="n">
        <v>45.68</v>
      </c>
      <c r="O232" t="n">
        <v>1110.44</v>
      </c>
      <c r="P232" t="n">
        <v>508.73</v>
      </c>
      <c r="Q232">
        <f>ROUND(L232*M232*N232/1000+O232+P232,2)</f>
        <v/>
      </c>
      <c r="R232" t="inlineStr">
        <is>
          <t>Yes</t>
        </is>
      </c>
      <c r="S232">
        <f>IF(OR(E232="",D232=""),"",MAX(0,E232-D232))</f>
        <v/>
      </c>
      <c r="T232" t="inlineStr">
        <is>
          <t>No</t>
        </is>
      </c>
      <c r="U232" t="n">
        <v>3</v>
      </c>
      <c r="V232" t="inlineStr">
        <is>
          <t>Pending</t>
        </is>
      </c>
      <c r="W232" t="n">
        <v>1</v>
      </c>
      <c r="X232" t="inlineStr">
        <is>
          <t>Address Error</t>
        </is>
      </c>
    </row>
    <row r="233">
      <c r="A233" t="inlineStr">
        <is>
          <t>ORD-2026-00232</t>
        </is>
      </c>
      <c r="B233" t="inlineStr">
        <is>
          <t>CUST-0246</t>
        </is>
      </c>
      <c r="C233" s="3" t="n">
        <v>46169</v>
      </c>
      <c r="D233" s="3" t="n">
        <v>46172</v>
      </c>
      <c r="E233" s="3" t="n">
        <v>46172</v>
      </c>
      <c r="F233" t="inlineStr">
        <is>
          <t>Chennai</t>
        </is>
      </c>
      <c r="G233" t="inlineStr">
        <is>
          <t>Kolkata</t>
        </is>
      </c>
      <c r="H233" t="inlineStr">
        <is>
          <t>DTDC</t>
        </is>
      </c>
      <c r="I233" t="inlineStr">
        <is>
          <t>Van</t>
        </is>
      </c>
      <c r="J233" t="inlineStr">
        <is>
          <t>High</t>
        </is>
      </c>
      <c r="K233" t="inlineStr">
        <is>
          <t>Delivered</t>
        </is>
      </c>
      <c r="L233" t="n">
        <v>2227.05</v>
      </c>
      <c r="M233" t="n">
        <v>606</v>
      </c>
      <c r="N233" t="n">
        <v>11.19</v>
      </c>
      <c r="O233" t="n">
        <v>687.0700000000001</v>
      </c>
      <c r="P233" t="n">
        <v>286.46</v>
      </c>
      <c r="Q233">
        <f>ROUND(L233*M233*N233/1000+O233+P233,2)</f>
        <v/>
      </c>
      <c r="R233" t="inlineStr">
        <is>
          <t>Yes</t>
        </is>
      </c>
      <c r="S233">
        <f>IF(OR(E233="",D233=""),"",MAX(0,E233-D233))</f>
        <v/>
      </c>
      <c r="T233" t="inlineStr">
        <is>
          <t>Yes</t>
        </is>
      </c>
      <c r="U233" t="n">
        <v>28</v>
      </c>
      <c r="V233" t="inlineStr">
        <is>
          <t>Failed</t>
        </is>
      </c>
      <c r="W233" t="n">
        <v>5</v>
      </c>
      <c r="X233" t="inlineStr">
        <is>
          <t>Weather</t>
        </is>
      </c>
    </row>
    <row r="234">
      <c r="A234" t="inlineStr">
        <is>
          <t>ORD-2026-00233</t>
        </is>
      </c>
      <c r="B234" t="inlineStr">
        <is>
          <t>CUST-0068</t>
        </is>
      </c>
      <c r="C234" s="3" t="n">
        <v>46146</v>
      </c>
      <c r="D234" s="3" t="n">
        <v>46149</v>
      </c>
      <c r="E234" s="3" t="n">
        <v>46149</v>
      </c>
      <c r="F234" t="inlineStr">
        <is>
          <t>Delhi</t>
        </is>
      </c>
      <c r="G234" t="inlineStr">
        <is>
          <t>Hyderabad</t>
        </is>
      </c>
      <c r="H234" t="inlineStr">
        <is>
          <t>Delhivery</t>
        </is>
      </c>
      <c r="I234" t="inlineStr">
        <is>
          <t>Bike</t>
        </is>
      </c>
      <c r="J234" t="inlineStr">
        <is>
          <t>Low</t>
        </is>
      </c>
      <c r="K234" t="inlineStr">
        <is>
          <t>Delivered</t>
        </is>
      </c>
      <c r="L234" t="n">
        <v>357.21</v>
      </c>
      <c r="M234" t="n">
        <v>2391</v>
      </c>
      <c r="N234" t="n">
        <v>54.77</v>
      </c>
      <c r="O234" t="n">
        <v>1913.85</v>
      </c>
      <c r="P234" t="n">
        <v>996.28</v>
      </c>
      <c r="Q234">
        <f>ROUND(L234*M234*N234/1000+O234+P234,2)</f>
        <v/>
      </c>
      <c r="R234" t="inlineStr">
        <is>
          <t>Yes</t>
        </is>
      </c>
      <c r="S234">
        <f>IF(OR(E234="",D234=""),"",MAX(0,E234-D234))</f>
        <v/>
      </c>
      <c r="T234" t="inlineStr">
        <is>
          <t>Yes</t>
        </is>
      </c>
      <c r="U234" t="n">
        <v>49</v>
      </c>
      <c r="V234" t="inlineStr">
        <is>
          <t>Failed</t>
        </is>
      </c>
      <c r="W234" t="n">
        <v>2</v>
      </c>
      <c r="X234" t="inlineStr">
        <is>
          <t>None</t>
        </is>
      </c>
    </row>
    <row r="235">
      <c r="A235" t="inlineStr">
        <is>
          <t>ORD-2026-00234</t>
        </is>
      </c>
      <c r="B235" t="inlineStr">
        <is>
          <t>CUST-0154</t>
        </is>
      </c>
      <c r="C235" s="3" t="n">
        <v>46027</v>
      </c>
      <c r="D235" s="3" t="n">
        <v>46031</v>
      </c>
      <c r="E235" s="3" t="n">
        <v>46031</v>
      </c>
      <c r="F235" t="inlineStr">
        <is>
          <t>Ahmedabad</t>
        </is>
      </c>
      <c r="G235" t="inlineStr">
        <is>
          <t>Surat</t>
        </is>
      </c>
      <c r="H235" t="inlineStr">
        <is>
          <t>DTDC</t>
        </is>
      </c>
      <c r="I235" t="inlineStr">
        <is>
          <t>Van</t>
        </is>
      </c>
      <c r="J235" t="inlineStr">
        <is>
          <t>Low</t>
        </is>
      </c>
      <c r="K235" t="inlineStr">
        <is>
          <t>Delivered</t>
        </is>
      </c>
      <c r="L235" t="n">
        <v>1711.08</v>
      </c>
      <c r="M235" t="n">
        <v>617</v>
      </c>
      <c r="N235" t="n">
        <v>42.51</v>
      </c>
      <c r="O235" t="n">
        <v>1824.14</v>
      </c>
      <c r="P235" t="n">
        <v>1354.38</v>
      </c>
      <c r="Q235">
        <f>ROUND(L235*M235*N235/1000+O235+P235,2)</f>
        <v/>
      </c>
      <c r="R235" t="inlineStr">
        <is>
          <t>Yes</t>
        </is>
      </c>
      <c r="S235">
        <f>IF(OR(E235="",D235=""),"",MAX(0,E235-D235))</f>
        <v/>
      </c>
      <c r="T235" t="inlineStr">
        <is>
          <t>No</t>
        </is>
      </c>
      <c r="U235" t="n">
        <v>17</v>
      </c>
      <c r="V235" t="inlineStr">
        <is>
          <t>Paid</t>
        </is>
      </c>
      <c r="W235" t="n">
        <v>4</v>
      </c>
      <c r="X235" t="inlineStr">
        <is>
          <t>Customs</t>
        </is>
      </c>
    </row>
    <row r="236">
      <c r="A236" t="inlineStr">
        <is>
          <t>ORD-2026-00235</t>
        </is>
      </c>
      <c r="B236" t="inlineStr">
        <is>
          <t>CUST-0190</t>
        </is>
      </c>
      <c r="C236" s="3" t="n">
        <v>46130</v>
      </c>
      <c r="D236" s="3" t="n">
        <v>46136</v>
      </c>
      <c r="E236" s="3" t="n">
        <v>46139</v>
      </c>
      <c r="F236" t="inlineStr">
        <is>
          <t>Kolkata</t>
        </is>
      </c>
      <c r="G236" t="inlineStr">
        <is>
          <t>Mumbai</t>
        </is>
      </c>
      <c r="H236" t="inlineStr">
        <is>
          <t>Delhivery</t>
        </is>
      </c>
      <c r="I236" t="inlineStr">
        <is>
          <t>Truck</t>
        </is>
      </c>
      <c r="J236" t="inlineStr">
        <is>
          <t>High</t>
        </is>
      </c>
      <c r="K236" t="inlineStr">
        <is>
          <t>Delivered</t>
        </is>
      </c>
      <c r="L236" t="n">
        <v>1072.68</v>
      </c>
      <c r="M236" t="n">
        <v>1979</v>
      </c>
      <c r="N236" t="n">
        <v>53</v>
      </c>
      <c r="O236" t="n">
        <v>5948.88</v>
      </c>
      <c r="P236" t="n">
        <v>891.79</v>
      </c>
      <c r="Q236">
        <f>ROUND(L236*M236*N236/1000+O236+P236,2)</f>
        <v/>
      </c>
      <c r="R236" t="inlineStr">
        <is>
          <t>No</t>
        </is>
      </c>
      <c r="S236">
        <f>IF(OR(E236="",D236=""),"",MAX(0,E236-D236))</f>
        <v/>
      </c>
      <c r="T236" t="inlineStr">
        <is>
          <t>No</t>
        </is>
      </c>
      <c r="U236" t="n">
        <v>30</v>
      </c>
      <c r="V236" t="inlineStr">
        <is>
          <t>Paid</t>
        </is>
      </c>
      <c r="W236" t="n">
        <v>3</v>
      </c>
      <c r="X236" t="inlineStr">
        <is>
          <t>Customs</t>
        </is>
      </c>
    </row>
    <row r="237">
      <c r="A237" t="inlineStr">
        <is>
          <t>ORD-2026-00236</t>
        </is>
      </c>
      <c r="B237" t="inlineStr">
        <is>
          <t>CUST-0206</t>
        </is>
      </c>
      <c r="C237" s="3" t="n">
        <v>46162</v>
      </c>
      <c r="D237" s="3" t="n">
        <v>46169</v>
      </c>
      <c r="E237" s="3" t="n"/>
      <c r="F237" t="inlineStr">
        <is>
          <t>Hyderabad</t>
        </is>
      </c>
      <c r="G237" t="inlineStr">
        <is>
          <t>Chennai</t>
        </is>
      </c>
      <c r="H237" t="inlineStr">
        <is>
          <t>FedEx</t>
        </is>
      </c>
      <c r="I237" t="inlineStr">
        <is>
          <t>Van</t>
        </is>
      </c>
      <c r="J237" t="inlineStr">
        <is>
          <t>Normal</t>
        </is>
      </c>
      <c r="K237" t="inlineStr">
        <is>
          <t>In Transit</t>
        </is>
      </c>
      <c r="L237" t="n">
        <v>1445.18</v>
      </c>
      <c r="M237" t="n">
        <v>487</v>
      </c>
      <c r="N237" t="n">
        <v>37.63</v>
      </c>
      <c r="O237" t="n">
        <v>1390.46</v>
      </c>
      <c r="P237" t="n">
        <v>324.02</v>
      </c>
      <c r="Q237">
        <f>ROUND(L237*M237*N237/1000+O237+P237,2)</f>
        <v/>
      </c>
      <c r="R237" t="inlineStr">
        <is>
          <t>No</t>
        </is>
      </c>
      <c r="S237">
        <f>IF(OR(E237="",D237=""),"",MAX(0,E237-D237))</f>
        <v/>
      </c>
      <c r="T237" t="inlineStr">
        <is>
          <t>No</t>
        </is>
      </c>
      <c r="U237" t="n">
        <v>75</v>
      </c>
      <c r="V237" t="inlineStr">
        <is>
          <t>COD</t>
        </is>
      </c>
      <c r="W237" t="n">
        <v>3</v>
      </c>
      <c r="X237" t="inlineStr">
        <is>
          <t>Customer Unavailable</t>
        </is>
      </c>
    </row>
    <row r="238">
      <c r="A238" t="inlineStr">
        <is>
          <t>ORD-2026-00237</t>
        </is>
      </c>
      <c r="B238" t="inlineStr">
        <is>
          <t>CUST-0124</t>
        </is>
      </c>
      <c r="C238" s="3" t="n">
        <v>46160</v>
      </c>
      <c r="D238" s="3" t="n">
        <v>46167</v>
      </c>
      <c r="E238" s="3" t="n">
        <v>46168</v>
      </c>
      <c r="F238" t="inlineStr">
        <is>
          <t>Delhi</t>
        </is>
      </c>
      <c r="G238" t="inlineStr">
        <is>
          <t>Hyderabad</t>
        </is>
      </c>
      <c r="H238" t="inlineStr">
        <is>
          <t>DTDC</t>
        </is>
      </c>
      <c r="I238" t="inlineStr">
        <is>
          <t>Bike</t>
        </is>
      </c>
      <c r="J238" t="inlineStr">
        <is>
          <t>Critical</t>
        </is>
      </c>
      <c r="K238" t="inlineStr">
        <is>
          <t>Delivered</t>
        </is>
      </c>
      <c r="L238" t="n">
        <v>2479.5</v>
      </c>
      <c r="M238" t="n">
        <v>1632</v>
      </c>
      <c r="N238" t="n">
        <v>51.03</v>
      </c>
      <c r="O238" t="n">
        <v>11314.63</v>
      </c>
      <c r="P238" t="n">
        <v>1180.01</v>
      </c>
      <c r="Q238">
        <f>ROUND(L238*M238*N238/1000+O238+P238,2)</f>
        <v/>
      </c>
      <c r="R238" t="inlineStr">
        <is>
          <t>No</t>
        </is>
      </c>
      <c r="S238">
        <f>IF(OR(E238="",D238=""),"",MAX(0,E238-D238))</f>
        <v/>
      </c>
      <c r="T238" t="inlineStr">
        <is>
          <t>No</t>
        </is>
      </c>
      <c r="U238" t="n">
        <v>40</v>
      </c>
      <c r="V238" t="inlineStr">
        <is>
          <t>COD</t>
        </is>
      </c>
      <c r="W238" t="n">
        <v>4</v>
      </c>
      <c r="X238" t="inlineStr">
        <is>
          <t>Damaged Package</t>
        </is>
      </c>
    </row>
    <row r="239">
      <c r="A239" t="inlineStr">
        <is>
          <t>ORD-2026-00238</t>
        </is>
      </c>
      <c r="B239" t="inlineStr">
        <is>
          <t>CUST-0206</t>
        </is>
      </c>
      <c r="C239" s="3" t="n">
        <v>46058</v>
      </c>
      <c r="D239" s="3" t="n">
        <v>46060</v>
      </c>
      <c r="E239" s="3" t="n">
        <v>46062</v>
      </c>
      <c r="F239" t="inlineStr">
        <is>
          <t>Surat</t>
        </is>
      </c>
      <c r="G239" t="inlineStr">
        <is>
          <t>Kolkata</t>
        </is>
      </c>
      <c r="H239" t="inlineStr">
        <is>
          <t>Maersk</t>
        </is>
      </c>
      <c r="I239" t="inlineStr">
        <is>
          <t>Van</t>
        </is>
      </c>
      <c r="J239" t="inlineStr">
        <is>
          <t>Normal</t>
        </is>
      </c>
      <c r="K239" t="inlineStr">
        <is>
          <t>Delivered</t>
        </is>
      </c>
      <c r="L239" t="n">
        <v>1748.43</v>
      </c>
      <c r="M239" t="n">
        <v>667</v>
      </c>
      <c r="N239" t="n">
        <v>13.72</v>
      </c>
      <c r="O239" t="n">
        <v>968.03</v>
      </c>
      <c r="P239" t="n">
        <v>1183.4</v>
      </c>
      <c r="Q239">
        <f>ROUND(L239*M239*N239/1000+O239+P239,2)</f>
        <v/>
      </c>
      <c r="R239" t="inlineStr">
        <is>
          <t>No</t>
        </is>
      </c>
      <c r="S239">
        <f>IF(OR(E239="",D239=""),"",MAX(0,E239-D239))</f>
        <v/>
      </c>
      <c r="T239" t="inlineStr">
        <is>
          <t>No</t>
        </is>
      </c>
      <c r="U239" t="n">
        <v>1</v>
      </c>
      <c r="V239" t="inlineStr">
        <is>
          <t>Paid</t>
        </is>
      </c>
      <c r="W239" t="n">
        <v>2</v>
      </c>
      <c r="X239" t="inlineStr">
        <is>
          <t>Weather</t>
        </is>
      </c>
    </row>
    <row r="240">
      <c r="A240" t="inlineStr">
        <is>
          <t>ORD-2026-00239</t>
        </is>
      </c>
      <c r="B240" t="inlineStr">
        <is>
          <t>CUST-0158</t>
        </is>
      </c>
      <c r="C240" s="3" t="n">
        <v>46176</v>
      </c>
      <c r="D240" s="3" t="n">
        <v>46183</v>
      </c>
      <c r="E240" s="3" t="n">
        <v>46183</v>
      </c>
      <c r="F240" t="inlineStr">
        <is>
          <t>Surat</t>
        </is>
      </c>
      <c r="G240" t="inlineStr">
        <is>
          <t>Pune</t>
        </is>
      </c>
      <c r="H240" t="inlineStr">
        <is>
          <t>Maersk</t>
        </is>
      </c>
      <c r="I240" t="inlineStr">
        <is>
          <t>Bike</t>
        </is>
      </c>
      <c r="J240" t="inlineStr">
        <is>
          <t>Low</t>
        </is>
      </c>
      <c r="K240" t="inlineStr">
        <is>
          <t>Delivered</t>
        </is>
      </c>
      <c r="L240" t="n">
        <v>927.4</v>
      </c>
      <c r="M240" t="n">
        <v>2499</v>
      </c>
      <c r="N240" t="n">
        <v>10.15</v>
      </c>
      <c r="O240" t="n">
        <v>1248.14</v>
      </c>
      <c r="P240" t="n">
        <v>1476.98</v>
      </c>
      <c r="Q240">
        <f>ROUND(L240*M240*N240/1000+O240+P240,2)</f>
        <v/>
      </c>
      <c r="R240" t="inlineStr">
        <is>
          <t>Yes</t>
        </is>
      </c>
      <c r="S240">
        <f>IF(OR(E240="",D240=""),"",MAX(0,E240-D240))</f>
        <v/>
      </c>
      <c r="T240" t="inlineStr">
        <is>
          <t>Yes</t>
        </is>
      </c>
      <c r="U240" t="n">
        <v>64</v>
      </c>
      <c r="V240" t="inlineStr">
        <is>
          <t>Failed</t>
        </is>
      </c>
      <c r="W240" t="n">
        <v>1</v>
      </c>
      <c r="X240" t="inlineStr">
        <is>
          <t>Address Error</t>
        </is>
      </c>
    </row>
    <row r="241">
      <c r="A241" t="inlineStr">
        <is>
          <t>ORD-2026-00240</t>
        </is>
      </c>
      <c r="B241" t="inlineStr">
        <is>
          <t>CUST-0168</t>
        </is>
      </c>
      <c r="C241" s="3" t="n">
        <v>46240</v>
      </c>
      <c r="D241" s="3" t="n">
        <v>46245</v>
      </c>
      <c r="E241" s="3" t="n">
        <v>46245</v>
      </c>
      <c r="F241" t="inlineStr">
        <is>
          <t>Ahmedabad</t>
        </is>
      </c>
      <c r="G241" t="inlineStr">
        <is>
          <t>Delhi</t>
        </is>
      </c>
      <c r="H241" t="inlineStr">
        <is>
          <t>BlueDart</t>
        </is>
      </c>
      <c r="I241" t="inlineStr">
        <is>
          <t>Refrigerated Truck</t>
        </is>
      </c>
      <c r="J241" t="inlineStr">
        <is>
          <t>Critical</t>
        </is>
      </c>
      <c r="K241" t="inlineStr">
        <is>
          <t>Delivered</t>
        </is>
      </c>
      <c r="L241" t="n">
        <v>1276.61</v>
      </c>
      <c r="M241" t="n">
        <v>953</v>
      </c>
      <c r="N241" t="n">
        <v>43.07</v>
      </c>
      <c r="O241" t="n">
        <v>3691.09</v>
      </c>
      <c r="P241" t="n">
        <v>552.42</v>
      </c>
      <c r="Q241">
        <f>ROUND(L241*M241*N241/1000+O241+P241,2)</f>
        <v/>
      </c>
      <c r="R241" t="inlineStr">
        <is>
          <t>Yes</t>
        </is>
      </c>
      <c r="S241">
        <f>IF(OR(E241="",D241=""),"",MAX(0,E241-D241))</f>
        <v/>
      </c>
      <c r="T241" t="inlineStr">
        <is>
          <t>No</t>
        </is>
      </c>
      <c r="U241" t="n">
        <v>51</v>
      </c>
      <c r="V241" t="inlineStr">
        <is>
          <t>Failed</t>
        </is>
      </c>
      <c r="W241" t="n">
        <v>5</v>
      </c>
      <c r="X241" t="inlineStr">
        <is>
          <t>Address Error</t>
        </is>
      </c>
    </row>
    <row r="242">
      <c r="A242" t="inlineStr">
        <is>
          <t>ORD-2026-00241</t>
        </is>
      </c>
      <c r="B242" t="inlineStr">
        <is>
          <t>CUST-0071</t>
        </is>
      </c>
      <c r="C242" s="3" t="n">
        <v>46155</v>
      </c>
      <c r="D242" s="3" t="n">
        <v>46156</v>
      </c>
      <c r="E242" s="3" t="n"/>
      <c r="F242" t="inlineStr">
        <is>
          <t>Bengaluru</t>
        </is>
      </c>
      <c r="G242" t="inlineStr">
        <is>
          <t>Kolkata</t>
        </is>
      </c>
      <c r="H242" t="inlineStr">
        <is>
          <t>DHL</t>
        </is>
      </c>
      <c r="I242" t="inlineStr">
        <is>
          <t>Container</t>
        </is>
      </c>
      <c r="J242" t="inlineStr">
        <is>
          <t>Critical</t>
        </is>
      </c>
      <c r="K242" t="inlineStr">
        <is>
          <t>In Transit</t>
        </is>
      </c>
      <c r="L242" t="n">
        <v>1374.21</v>
      </c>
      <c r="M242" t="n">
        <v>2295</v>
      </c>
      <c r="N242" t="n">
        <v>60.16</v>
      </c>
      <c r="O242" t="n">
        <v>9654.719999999999</v>
      </c>
      <c r="P242" t="n">
        <v>1445.67</v>
      </c>
      <c r="Q242">
        <f>ROUND(L242*M242*N242/1000+O242+P242,2)</f>
        <v/>
      </c>
      <c r="R242" t="inlineStr">
        <is>
          <t>No</t>
        </is>
      </c>
      <c r="S242">
        <f>IF(OR(E242="",D242=""),"",MAX(0,E242-D242))</f>
        <v/>
      </c>
      <c r="T242" t="inlineStr">
        <is>
          <t>Yes</t>
        </is>
      </c>
      <c r="U242" t="n">
        <v>34</v>
      </c>
      <c r="V242" t="inlineStr">
        <is>
          <t>Pending</t>
        </is>
      </c>
      <c r="W242" t="n">
        <v>4</v>
      </c>
      <c r="X242" t="inlineStr">
        <is>
          <t>Customs</t>
        </is>
      </c>
    </row>
    <row r="243">
      <c r="A243" t="inlineStr">
        <is>
          <t>ORD-2026-00242</t>
        </is>
      </c>
      <c r="B243" t="inlineStr">
        <is>
          <t>CUST-0148</t>
        </is>
      </c>
      <c r="C243" s="3" t="n">
        <v>46050</v>
      </c>
      <c r="D243" s="3" t="n">
        <v>46052</v>
      </c>
      <c r="E243" s="3" t="n">
        <v>46052</v>
      </c>
      <c r="F243" t="inlineStr">
        <is>
          <t>Pune</t>
        </is>
      </c>
      <c r="G243" t="inlineStr">
        <is>
          <t>Jaipur</t>
        </is>
      </c>
      <c r="H243" t="inlineStr">
        <is>
          <t>Delhivery</t>
        </is>
      </c>
      <c r="I243" t="inlineStr">
        <is>
          <t>Bike</t>
        </is>
      </c>
      <c r="J243" t="inlineStr">
        <is>
          <t>Critical</t>
        </is>
      </c>
      <c r="K243" t="inlineStr">
        <is>
          <t>Delivered</t>
        </is>
      </c>
      <c r="L243" t="n">
        <v>292.96</v>
      </c>
      <c r="M243" t="n">
        <v>2107</v>
      </c>
      <c r="N243" t="n">
        <v>62.53</v>
      </c>
      <c r="O243" t="n">
        <v>3186.89</v>
      </c>
      <c r="P243" t="n">
        <v>1223.46</v>
      </c>
      <c r="Q243">
        <f>ROUND(L243*M243*N243/1000+O243+P243,2)</f>
        <v/>
      </c>
      <c r="R243" t="inlineStr">
        <is>
          <t>Yes</t>
        </is>
      </c>
      <c r="S243">
        <f>IF(OR(E243="",D243=""),"",MAX(0,E243-D243))</f>
        <v/>
      </c>
      <c r="T243" t="inlineStr">
        <is>
          <t>Yes</t>
        </is>
      </c>
      <c r="U243" t="n">
        <v>44</v>
      </c>
      <c r="V243" t="inlineStr">
        <is>
          <t>Failed</t>
        </is>
      </c>
      <c r="W243" t="n">
        <v>4</v>
      </c>
      <c r="X243" t="inlineStr">
        <is>
          <t>Customs</t>
        </is>
      </c>
    </row>
    <row r="244">
      <c r="A244" t="inlineStr">
        <is>
          <t>ORD-2026-00243</t>
        </is>
      </c>
      <c r="B244" t="inlineStr">
        <is>
          <t>CUST-0245</t>
        </is>
      </c>
      <c r="C244" s="3" t="n">
        <v>46243</v>
      </c>
      <c r="D244" s="3" t="n">
        <v>46244</v>
      </c>
      <c r="E244" s="3" t="n">
        <v>46244</v>
      </c>
      <c r="F244" t="inlineStr">
        <is>
          <t>Hyderabad</t>
        </is>
      </c>
      <c r="G244" t="inlineStr">
        <is>
          <t>Surat</t>
        </is>
      </c>
      <c r="H244" t="inlineStr">
        <is>
          <t>DTDC</t>
        </is>
      </c>
      <c r="I244" t="inlineStr">
        <is>
          <t>Van</t>
        </is>
      </c>
      <c r="J244" t="inlineStr">
        <is>
          <t>High</t>
        </is>
      </c>
      <c r="K244" t="inlineStr">
        <is>
          <t>Delivered</t>
        </is>
      </c>
      <c r="L244" t="n">
        <v>956.99</v>
      </c>
      <c r="M244" t="n">
        <v>907</v>
      </c>
      <c r="N244" t="n">
        <v>46.58</v>
      </c>
      <c r="O244" t="n">
        <v>1770.71</v>
      </c>
      <c r="P244" t="n">
        <v>487.28</v>
      </c>
      <c r="Q244">
        <f>ROUND(L244*M244*N244/1000+O244+P244,2)</f>
        <v/>
      </c>
      <c r="R244" t="inlineStr">
        <is>
          <t>Yes</t>
        </is>
      </c>
      <c r="S244">
        <f>IF(OR(E244="",D244=""),"",MAX(0,E244-D244))</f>
        <v/>
      </c>
      <c r="T244" t="inlineStr">
        <is>
          <t>Yes</t>
        </is>
      </c>
      <c r="U244" t="n">
        <v>37</v>
      </c>
      <c r="V244" t="inlineStr">
        <is>
          <t>Paid</t>
        </is>
      </c>
      <c r="W244" t="n">
        <v>4</v>
      </c>
      <c r="X244" t="inlineStr">
        <is>
          <t>Damaged Package</t>
        </is>
      </c>
    </row>
    <row r="245">
      <c r="A245" t="inlineStr">
        <is>
          <t>ORD-2026-00244</t>
        </is>
      </c>
      <c r="B245" t="inlineStr">
        <is>
          <t>CUST-0192</t>
        </is>
      </c>
      <c r="C245" s="3" t="n">
        <v>46214</v>
      </c>
      <c r="D245" s="3" t="n">
        <v>46220</v>
      </c>
      <c r="E245" s="3" t="n">
        <v>46220</v>
      </c>
      <c r="F245" t="inlineStr">
        <is>
          <t>Bengaluru</t>
        </is>
      </c>
      <c r="G245" t="inlineStr">
        <is>
          <t>Jaipur</t>
        </is>
      </c>
      <c r="H245" t="inlineStr">
        <is>
          <t>Maersk</t>
        </is>
      </c>
      <c r="I245" t="inlineStr">
        <is>
          <t>Truck</t>
        </is>
      </c>
      <c r="J245" t="inlineStr">
        <is>
          <t>Normal</t>
        </is>
      </c>
      <c r="K245" t="inlineStr">
        <is>
          <t>Delivered</t>
        </is>
      </c>
      <c r="L245" t="n">
        <v>1191.65</v>
      </c>
      <c r="M245" t="n">
        <v>1453</v>
      </c>
      <c r="N245" t="n">
        <v>20.46</v>
      </c>
      <c r="O245" t="n">
        <v>2282.23</v>
      </c>
      <c r="P245" t="n">
        <v>290.52</v>
      </c>
      <c r="Q245">
        <f>ROUND(L245*M245*N245/1000+O245+P245,2)</f>
        <v/>
      </c>
      <c r="R245" t="inlineStr">
        <is>
          <t>Yes</t>
        </is>
      </c>
      <c r="S245">
        <f>IF(OR(E245="",D245=""),"",MAX(0,E245-D245))</f>
        <v/>
      </c>
      <c r="T245" t="inlineStr">
        <is>
          <t>Yes</t>
        </is>
      </c>
      <c r="U245" t="n">
        <v>34</v>
      </c>
      <c r="V245" t="inlineStr">
        <is>
          <t>Pending</t>
        </is>
      </c>
      <c r="W245" t="n">
        <v>2</v>
      </c>
      <c r="X245" t="inlineStr">
        <is>
          <t>Address Error</t>
        </is>
      </c>
    </row>
    <row r="246">
      <c r="A246" t="inlineStr">
        <is>
          <t>ORD-2026-00245</t>
        </is>
      </c>
      <c r="B246" t="inlineStr">
        <is>
          <t>CUST-0158</t>
        </is>
      </c>
      <c r="C246" s="3" t="n">
        <v>46236</v>
      </c>
      <c r="D246" s="3" t="n">
        <v>46240</v>
      </c>
      <c r="E246" s="3" t="n">
        <v>46243</v>
      </c>
      <c r="F246" t="inlineStr">
        <is>
          <t>Ahmedabad</t>
        </is>
      </c>
      <c r="G246" t="inlineStr">
        <is>
          <t>Surat</t>
        </is>
      </c>
      <c r="H246" t="inlineStr">
        <is>
          <t>BlueDart</t>
        </is>
      </c>
      <c r="I246" t="inlineStr">
        <is>
          <t>Container</t>
        </is>
      </c>
      <c r="J246" t="inlineStr">
        <is>
          <t>High</t>
        </is>
      </c>
      <c r="K246" t="inlineStr">
        <is>
          <t>Delivered</t>
        </is>
      </c>
      <c r="L246" t="n">
        <v>1947.46</v>
      </c>
      <c r="M246" t="n">
        <v>496</v>
      </c>
      <c r="N246" t="n">
        <v>60.45</v>
      </c>
      <c r="O246" t="n">
        <v>4119.42</v>
      </c>
      <c r="P246" t="n">
        <v>1001.87</v>
      </c>
      <c r="Q246">
        <f>ROUND(L246*M246*N246/1000+O246+P246,2)</f>
        <v/>
      </c>
      <c r="R246" t="inlineStr">
        <is>
          <t>No</t>
        </is>
      </c>
      <c r="S246">
        <f>IF(OR(E246="",D246=""),"",MAX(0,E246-D246))</f>
        <v/>
      </c>
      <c r="T246" t="inlineStr">
        <is>
          <t>No</t>
        </is>
      </c>
      <c r="U246" t="n">
        <v>64</v>
      </c>
      <c r="V246" t="inlineStr">
        <is>
          <t>COD</t>
        </is>
      </c>
      <c r="W246" t="n">
        <v>4</v>
      </c>
      <c r="X246" t="inlineStr">
        <is>
          <t>Address Error</t>
        </is>
      </c>
    </row>
    <row r="247">
      <c r="A247" t="inlineStr">
        <is>
          <t>ORD-2026-00246</t>
        </is>
      </c>
      <c r="B247" t="inlineStr">
        <is>
          <t>CUST-0129</t>
        </is>
      </c>
      <c r="C247" s="3" t="n">
        <v>46218</v>
      </c>
      <c r="D247" s="3" t="n">
        <v>46223</v>
      </c>
      <c r="E247" s="3" t="n">
        <v>46223</v>
      </c>
      <c r="F247" t="inlineStr">
        <is>
          <t>Hyderabad</t>
        </is>
      </c>
      <c r="G247" t="inlineStr">
        <is>
          <t>Chennai</t>
        </is>
      </c>
      <c r="H247" t="inlineStr">
        <is>
          <t>Aramex</t>
        </is>
      </c>
      <c r="I247" t="inlineStr">
        <is>
          <t>Truck</t>
        </is>
      </c>
      <c r="J247" t="inlineStr">
        <is>
          <t>Critical</t>
        </is>
      </c>
      <c r="K247" t="inlineStr">
        <is>
          <t>Delivered</t>
        </is>
      </c>
      <c r="L247" t="n">
        <v>321.05</v>
      </c>
      <c r="M247" t="n">
        <v>2158</v>
      </c>
      <c r="N247" t="n">
        <v>53.56</v>
      </c>
      <c r="O247" t="n">
        <v>2178.2</v>
      </c>
      <c r="P247" t="n">
        <v>820.34</v>
      </c>
      <c r="Q247">
        <f>ROUND(L247*M247*N247/1000+O247+P247,2)</f>
        <v/>
      </c>
      <c r="R247" t="inlineStr">
        <is>
          <t>Yes</t>
        </is>
      </c>
      <c r="S247">
        <f>IF(OR(E247="",D247=""),"",MAX(0,E247-D247))</f>
        <v/>
      </c>
      <c r="T247" t="inlineStr">
        <is>
          <t>Yes</t>
        </is>
      </c>
      <c r="U247" t="n">
        <v>67</v>
      </c>
      <c r="V247" t="inlineStr">
        <is>
          <t>Failed</t>
        </is>
      </c>
      <c r="W247" t="n">
        <v>3</v>
      </c>
      <c r="X247" t="inlineStr">
        <is>
          <t>Damaged Package</t>
        </is>
      </c>
    </row>
    <row r="248">
      <c r="A248" t="inlineStr">
        <is>
          <t>ORD-2026-00247</t>
        </is>
      </c>
      <c r="B248" t="inlineStr">
        <is>
          <t>CUST-0061</t>
        </is>
      </c>
      <c r="C248" s="3" t="n">
        <v>46025</v>
      </c>
      <c r="D248" s="3" t="n">
        <v>46026</v>
      </c>
      <c r="E248" s="3" t="n">
        <v>46027</v>
      </c>
      <c r="F248" t="inlineStr">
        <is>
          <t>Pune</t>
        </is>
      </c>
      <c r="G248" t="inlineStr">
        <is>
          <t>Jaipur</t>
        </is>
      </c>
      <c r="H248" t="inlineStr">
        <is>
          <t>DTDC</t>
        </is>
      </c>
      <c r="I248" t="inlineStr">
        <is>
          <t>Refrigerated Truck</t>
        </is>
      </c>
      <c r="J248" t="inlineStr">
        <is>
          <t>High</t>
        </is>
      </c>
      <c r="K248" t="inlineStr">
        <is>
          <t>Delivered</t>
        </is>
      </c>
      <c r="L248" t="n">
        <v>252.32</v>
      </c>
      <c r="M248" t="n">
        <v>1486</v>
      </c>
      <c r="N248" t="n">
        <v>42.93</v>
      </c>
      <c r="O248" t="n">
        <v>733.71</v>
      </c>
      <c r="P248" t="n">
        <v>831.87</v>
      </c>
      <c r="Q248">
        <f>ROUND(L248*M248*N248/1000+O248+P248,2)</f>
        <v/>
      </c>
      <c r="R248" t="inlineStr">
        <is>
          <t>No</t>
        </is>
      </c>
      <c r="S248">
        <f>IF(OR(E248="",D248=""),"",MAX(0,E248-D248))</f>
        <v/>
      </c>
      <c r="T248" t="inlineStr">
        <is>
          <t>Yes</t>
        </is>
      </c>
      <c r="U248" t="n">
        <v>64</v>
      </c>
      <c r="V248" t="inlineStr">
        <is>
          <t>Failed</t>
        </is>
      </c>
      <c r="W248" t="n">
        <v>2</v>
      </c>
      <c r="X248" t="inlineStr">
        <is>
          <t>Weather</t>
        </is>
      </c>
    </row>
    <row r="249">
      <c r="A249" t="inlineStr">
        <is>
          <t>ORD-2026-00248</t>
        </is>
      </c>
      <c r="B249" t="inlineStr">
        <is>
          <t>CUST-0026</t>
        </is>
      </c>
      <c r="C249" s="3" t="n">
        <v>46202</v>
      </c>
      <c r="D249" s="3" t="n">
        <v>46208</v>
      </c>
      <c r="E249" s="3" t="n">
        <v>46208</v>
      </c>
      <c r="F249" t="inlineStr">
        <is>
          <t>Pune</t>
        </is>
      </c>
      <c r="G249" t="inlineStr">
        <is>
          <t>Bengaluru</t>
        </is>
      </c>
      <c r="H249" t="inlineStr">
        <is>
          <t>DTDC</t>
        </is>
      </c>
      <c r="I249" t="inlineStr">
        <is>
          <t>Container</t>
        </is>
      </c>
      <c r="J249" t="inlineStr">
        <is>
          <t>Critical</t>
        </is>
      </c>
      <c r="K249" t="inlineStr">
        <is>
          <t>Delivered</t>
        </is>
      </c>
      <c r="L249" t="n">
        <v>1127.1</v>
      </c>
      <c r="M249" t="n">
        <v>2345</v>
      </c>
      <c r="N249" t="n">
        <v>15.47</v>
      </c>
      <c r="O249" t="n">
        <v>2639.46</v>
      </c>
      <c r="P249" t="n">
        <v>358.28</v>
      </c>
      <c r="Q249">
        <f>ROUND(L249*M249*N249/1000+O249+P249,2)</f>
        <v/>
      </c>
      <c r="R249" t="inlineStr">
        <is>
          <t>Yes</t>
        </is>
      </c>
      <c r="S249">
        <f>IF(OR(E249="",D249=""),"",MAX(0,E249-D249))</f>
        <v/>
      </c>
      <c r="T249" t="inlineStr">
        <is>
          <t>Yes</t>
        </is>
      </c>
      <c r="U249" t="n">
        <v>19</v>
      </c>
      <c r="V249" t="inlineStr">
        <is>
          <t>Pending</t>
        </is>
      </c>
      <c r="W249" t="n">
        <v>4</v>
      </c>
      <c r="X249" t="inlineStr">
        <is>
          <t>Customer Unavailable</t>
        </is>
      </c>
    </row>
    <row r="250">
      <c r="A250" t="inlineStr">
        <is>
          <t>ORD-2026-00249</t>
        </is>
      </c>
      <c r="B250" t="inlineStr">
        <is>
          <t>CUST-0077</t>
        </is>
      </c>
      <c r="C250" s="3" t="n">
        <v>46025</v>
      </c>
      <c r="D250" s="3" t="n">
        <v>46028</v>
      </c>
      <c r="E250" s="3" t="n">
        <v>46028</v>
      </c>
      <c r="F250" t="inlineStr">
        <is>
          <t>Pune</t>
        </is>
      </c>
      <c r="G250" t="inlineStr">
        <is>
          <t>Surat</t>
        </is>
      </c>
      <c r="H250" t="inlineStr">
        <is>
          <t>Aramex</t>
        </is>
      </c>
      <c r="I250" t="inlineStr">
        <is>
          <t>Bike</t>
        </is>
      </c>
      <c r="J250" t="inlineStr">
        <is>
          <t>Low</t>
        </is>
      </c>
      <c r="K250" t="inlineStr">
        <is>
          <t>Delivered</t>
        </is>
      </c>
      <c r="L250" t="n">
        <v>2233.23</v>
      </c>
      <c r="M250" t="n">
        <v>2588</v>
      </c>
      <c r="N250" t="n">
        <v>37.47</v>
      </c>
      <c r="O250" t="n">
        <v>15859.59</v>
      </c>
      <c r="P250" t="n">
        <v>1182.29</v>
      </c>
      <c r="Q250">
        <f>ROUND(L250*M250*N250/1000+O250+P250,2)</f>
        <v/>
      </c>
      <c r="R250" t="inlineStr">
        <is>
          <t>Yes</t>
        </is>
      </c>
      <c r="S250">
        <f>IF(OR(E250="",D250=""),"",MAX(0,E250-D250))</f>
        <v/>
      </c>
      <c r="T250" t="inlineStr">
        <is>
          <t>No</t>
        </is>
      </c>
      <c r="U250" t="n">
        <v>13</v>
      </c>
      <c r="V250" t="inlineStr">
        <is>
          <t>Pending</t>
        </is>
      </c>
      <c r="W250" t="n">
        <v>1</v>
      </c>
      <c r="X250" t="inlineStr">
        <is>
          <t>Address Error</t>
        </is>
      </c>
    </row>
    <row r="251">
      <c r="A251" t="inlineStr">
        <is>
          <t>ORD-2026-00250</t>
        </is>
      </c>
      <c r="B251" t="inlineStr">
        <is>
          <t>CUST-0208</t>
        </is>
      </c>
      <c r="C251" s="3" t="n">
        <v>46231</v>
      </c>
      <c r="D251" s="3" t="n">
        <v>46236</v>
      </c>
      <c r="E251" s="3" t="n">
        <v>46236</v>
      </c>
      <c r="F251" t="inlineStr">
        <is>
          <t>Pune</t>
        </is>
      </c>
      <c r="G251" t="inlineStr">
        <is>
          <t>Hyderabad</t>
        </is>
      </c>
      <c r="H251" t="inlineStr">
        <is>
          <t>BlueDart</t>
        </is>
      </c>
      <c r="I251" t="inlineStr">
        <is>
          <t>Container</t>
        </is>
      </c>
      <c r="J251" t="inlineStr">
        <is>
          <t>Low</t>
        </is>
      </c>
      <c r="K251" t="inlineStr">
        <is>
          <t>Delivered</t>
        </is>
      </c>
      <c r="L251" t="n">
        <v>1124.91</v>
      </c>
      <c r="M251" t="n">
        <v>1375</v>
      </c>
      <c r="N251" t="n">
        <v>22.81</v>
      </c>
      <c r="O251" t="n">
        <v>1821.17</v>
      </c>
      <c r="P251" t="n">
        <v>845.09</v>
      </c>
      <c r="Q251">
        <f>ROUND(L251*M251*N251/1000+O251+P251,2)</f>
        <v/>
      </c>
      <c r="R251" t="inlineStr">
        <is>
          <t>Yes</t>
        </is>
      </c>
      <c r="S251">
        <f>IF(OR(E251="",D251=""),"",MAX(0,E251-D251))</f>
        <v/>
      </c>
      <c r="T251" t="inlineStr">
        <is>
          <t>No</t>
        </is>
      </c>
      <c r="U251" t="n">
        <v>78</v>
      </c>
      <c r="V251" t="inlineStr">
        <is>
          <t>Pending</t>
        </is>
      </c>
      <c r="W251" t="n">
        <v>5</v>
      </c>
      <c r="X251" t="inlineStr">
        <is>
          <t>Customs</t>
        </is>
      </c>
    </row>
    <row r="252">
      <c r="A252" t="inlineStr">
        <is>
          <t>ORD-2026-00251</t>
        </is>
      </c>
      <c r="B252" t="inlineStr">
        <is>
          <t>CUST-0098</t>
        </is>
      </c>
      <c r="C252" s="3" t="n">
        <v>46189</v>
      </c>
      <c r="D252" s="3" t="n">
        <v>46192</v>
      </c>
      <c r="E252" s="3" t="n">
        <v>46202</v>
      </c>
      <c r="F252" t="inlineStr">
        <is>
          <t>Kolkata</t>
        </is>
      </c>
      <c r="G252" t="inlineStr">
        <is>
          <t>Pune</t>
        </is>
      </c>
      <c r="H252" t="inlineStr">
        <is>
          <t>Delhivery</t>
        </is>
      </c>
      <c r="I252" t="inlineStr">
        <is>
          <t>Truck</t>
        </is>
      </c>
      <c r="J252" t="inlineStr">
        <is>
          <t>Normal</t>
        </is>
      </c>
      <c r="K252" t="inlineStr">
        <is>
          <t>Delivered</t>
        </is>
      </c>
      <c r="L252" t="n">
        <v>813.0599999999999</v>
      </c>
      <c r="M252" t="n">
        <v>2095</v>
      </c>
      <c r="N252" t="n">
        <v>35.79</v>
      </c>
      <c r="O252" t="n">
        <v>4522.96</v>
      </c>
      <c r="P252" t="n">
        <v>1336.66</v>
      </c>
      <c r="Q252">
        <f>ROUND(L252*M252*N252/1000+O252+P252,2)</f>
        <v/>
      </c>
      <c r="R252" t="inlineStr">
        <is>
          <t>No</t>
        </is>
      </c>
      <c r="S252">
        <f>IF(OR(E252="",D252=""),"",MAX(0,E252-D252))</f>
        <v/>
      </c>
      <c r="T252" t="inlineStr">
        <is>
          <t>No</t>
        </is>
      </c>
      <c r="U252" t="n">
        <v>54</v>
      </c>
      <c r="V252" t="inlineStr">
        <is>
          <t>Failed</t>
        </is>
      </c>
      <c r="W252" t="n">
        <v>1</v>
      </c>
      <c r="X252" t="inlineStr">
        <is>
          <t>None</t>
        </is>
      </c>
    </row>
    <row r="253">
      <c r="A253" t="inlineStr">
        <is>
          <t>ORD-2026-00252</t>
        </is>
      </c>
      <c r="B253" t="inlineStr">
        <is>
          <t>CUST-0200</t>
        </is>
      </c>
      <c r="C253" s="3" t="n">
        <v>46064</v>
      </c>
      <c r="D253" s="3" t="n">
        <v>46070</v>
      </c>
      <c r="E253" s="3" t="n">
        <v>46070</v>
      </c>
      <c r="F253" t="inlineStr">
        <is>
          <t>Hyderabad</t>
        </is>
      </c>
      <c r="G253" t="inlineStr">
        <is>
          <t>Kolkata</t>
        </is>
      </c>
      <c r="H253" t="inlineStr">
        <is>
          <t>DTDC</t>
        </is>
      </c>
      <c r="I253" t="inlineStr">
        <is>
          <t>Container</t>
        </is>
      </c>
      <c r="J253" t="inlineStr">
        <is>
          <t>Critical</t>
        </is>
      </c>
      <c r="K253" t="inlineStr">
        <is>
          <t>Delivered</t>
        </is>
      </c>
      <c r="L253" t="n">
        <v>728.75</v>
      </c>
      <c r="M253" t="n">
        <v>1100</v>
      </c>
      <c r="N253" t="n">
        <v>42.51</v>
      </c>
      <c r="O253" t="n">
        <v>1830.87</v>
      </c>
      <c r="P253" t="n">
        <v>1333.78</v>
      </c>
      <c r="Q253">
        <f>ROUND(L253*M253*N253/1000+O253+P253,2)</f>
        <v/>
      </c>
      <c r="R253" t="inlineStr">
        <is>
          <t>Yes</t>
        </is>
      </c>
      <c r="S253">
        <f>IF(OR(E253="",D253=""),"",MAX(0,E253-D253))</f>
        <v/>
      </c>
      <c r="T253" t="inlineStr">
        <is>
          <t>Yes</t>
        </is>
      </c>
      <c r="U253" t="n">
        <v>24</v>
      </c>
      <c r="V253" t="inlineStr">
        <is>
          <t>Paid</t>
        </is>
      </c>
      <c r="W253" t="n">
        <v>2</v>
      </c>
      <c r="X253" t="inlineStr">
        <is>
          <t>Damaged Package</t>
        </is>
      </c>
    </row>
    <row r="254">
      <c r="A254" t="inlineStr">
        <is>
          <t>ORD-2026-00253</t>
        </is>
      </c>
      <c r="B254" t="inlineStr">
        <is>
          <t>CUST-0122</t>
        </is>
      </c>
      <c r="C254" s="3" t="n">
        <v>46083</v>
      </c>
      <c r="D254" s="3" t="n">
        <v>46088</v>
      </c>
      <c r="E254" s="3" t="n">
        <v>46093</v>
      </c>
      <c r="F254" t="inlineStr">
        <is>
          <t>Surat</t>
        </is>
      </c>
      <c r="G254" t="inlineStr">
        <is>
          <t>Ahmedabad</t>
        </is>
      </c>
      <c r="H254" t="inlineStr">
        <is>
          <t>BlueDart</t>
        </is>
      </c>
      <c r="I254" t="inlineStr">
        <is>
          <t>Container</t>
        </is>
      </c>
      <c r="J254" t="inlineStr">
        <is>
          <t>Low</t>
        </is>
      </c>
      <c r="K254" t="inlineStr">
        <is>
          <t>Delivered</t>
        </is>
      </c>
      <c r="L254" t="n">
        <v>200.62</v>
      </c>
      <c r="M254" t="n">
        <v>688</v>
      </c>
      <c r="N254" t="n">
        <v>30.63</v>
      </c>
      <c r="O254" t="n">
        <v>151.07</v>
      </c>
      <c r="P254" t="n">
        <v>1406.45</v>
      </c>
      <c r="Q254">
        <f>ROUND(L254*M254*N254/1000+O254+P254,2)</f>
        <v/>
      </c>
      <c r="R254" t="inlineStr">
        <is>
          <t>No</t>
        </is>
      </c>
      <c r="S254">
        <f>IF(OR(E254="",D254=""),"",MAX(0,E254-D254))</f>
        <v/>
      </c>
      <c r="T254" t="inlineStr">
        <is>
          <t>Yes</t>
        </is>
      </c>
      <c r="U254" t="n">
        <v>34</v>
      </c>
      <c r="V254" t="inlineStr">
        <is>
          <t>Pending</t>
        </is>
      </c>
      <c r="W254" t="n">
        <v>1</v>
      </c>
      <c r="X254" t="inlineStr">
        <is>
          <t>Damaged Package</t>
        </is>
      </c>
    </row>
    <row r="255">
      <c r="A255" t="inlineStr">
        <is>
          <t>ORD-2026-00254</t>
        </is>
      </c>
      <c r="B255" t="inlineStr">
        <is>
          <t>CUST-0170</t>
        </is>
      </c>
      <c r="C255" s="3" t="n">
        <v>46122</v>
      </c>
      <c r="D255" s="3" t="n">
        <v>46127</v>
      </c>
      <c r="E255" s="3" t="n">
        <v>46127</v>
      </c>
      <c r="F255" t="inlineStr">
        <is>
          <t>Hyderabad</t>
        </is>
      </c>
      <c r="G255" t="inlineStr">
        <is>
          <t>Hyderabad</t>
        </is>
      </c>
      <c r="H255" t="inlineStr">
        <is>
          <t>Aramex</t>
        </is>
      </c>
      <c r="I255" t="inlineStr">
        <is>
          <t>Container</t>
        </is>
      </c>
      <c r="J255" t="inlineStr">
        <is>
          <t>Critical</t>
        </is>
      </c>
      <c r="K255" t="inlineStr">
        <is>
          <t>Delivered</t>
        </is>
      </c>
      <c r="L255" t="n">
        <v>1108.18</v>
      </c>
      <c r="M255" t="n">
        <v>522</v>
      </c>
      <c r="N255" t="n">
        <v>15.48</v>
      </c>
      <c r="O255" t="n">
        <v>719.16</v>
      </c>
      <c r="P255" t="n">
        <v>62.29</v>
      </c>
      <c r="Q255">
        <f>ROUND(L255*M255*N255/1000+O255+P255,2)</f>
        <v/>
      </c>
      <c r="R255" t="inlineStr">
        <is>
          <t>Yes</t>
        </is>
      </c>
      <c r="S255">
        <f>IF(OR(E255="",D255=""),"",MAX(0,E255-D255))</f>
        <v/>
      </c>
      <c r="T255" t="inlineStr">
        <is>
          <t>No</t>
        </is>
      </c>
      <c r="U255" t="n">
        <v>71</v>
      </c>
      <c r="V255" t="inlineStr">
        <is>
          <t>Failed</t>
        </is>
      </c>
      <c r="W255" t="n">
        <v>2</v>
      </c>
      <c r="X255" t="inlineStr">
        <is>
          <t>Damaged Package</t>
        </is>
      </c>
    </row>
    <row r="256">
      <c r="A256" t="inlineStr">
        <is>
          <t>ORD-2026-00255</t>
        </is>
      </c>
      <c r="B256" t="inlineStr">
        <is>
          <t>CUST-0233</t>
        </is>
      </c>
      <c r="C256" s="3" t="n">
        <v>46161</v>
      </c>
      <c r="D256" s="3" t="n">
        <v>46164</v>
      </c>
      <c r="E256" s="3" t="n">
        <v>46165</v>
      </c>
      <c r="F256" t="inlineStr">
        <is>
          <t>Hyderabad</t>
        </is>
      </c>
      <c r="G256" t="inlineStr">
        <is>
          <t>Jaipur</t>
        </is>
      </c>
      <c r="H256" t="inlineStr">
        <is>
          <t>DTDC</t>
        </is>
      </c>
      <c r="I256" t="inlineStr">
        <is>
          <t>Truck</t>
        </is>
      </c>
      <c r="J256" t="inlineStr">
        <is>
          <t>Low</t>
        </is>
      </c>
      <c r="K256" t="inlineStr">
        <is>
          <t>Delivered</t>
        </is>
      </c>
      <c r="L256" t="n">
        <v>1872.4</v>
      </c>
      <c r="M256" t="n">
        <v>2315</v>
      </c>
      <c r="N256" t="n">
        <v>32.79</v>
      </c>
      <c r="O256" t="n">
        <v>9719.99</v>
      </c>
      <c r="P256" t="n">
        <v>810</v>
      </c>
      <c r="Q256">
        <f>ROUND(L256*M256*N256/1000+O256+P256,2)</f>
        <v/>
      </c>
      <c r="R256" t="inlineStr">
        <is>
          <t>No</t>
        </is>
      </c>
      <c r="S256">
        <f>IF(OR(E256="",D256=""),"",MAX(0,E256-D256))</f>
        <v/>
      </c>
      <c r="T256" t="inlineStr">
        <is>
          <t>No</t>
        </is>
      </c>
      <c r="U256" t="n">
        <v>40</v>
      </c>
      <c r="V256" t="inlineStr">
        <is>
          <t>COD</t>
        </is>
      </c>
      <c r="W256" t="n">
        <v>4</v>
      </c>
      <c r="X256" t="inlineStr">
        <is>
          <t>Vehicle Breakdown</t>
        </is>
      </c>
    </row>
    <row r="257">
      <c r="A257" t="inlineStr">
        <is>
          <t>ORD-2026-00256</t>
        </is>
      </c>
      <c r="B257" t="inlineStr">
        <is>
          <t>CUST-0237</t>
        </is>
      </c>
      <c r="C257" s="3" t="n">
        <v>46062</v>
      </c>
      <c r="D257" s="3" t="n">
        <v>46067</v>
      </c>
      <c r="E257" s="3" t="n">
        <v>46067</v>
      </c>
      <c r="F257" t="inlineStr">
        <is>
          <t>Jaipur</t>
        </is>
      </c>
      <c r="G257" t="inlineStr">
        <is>
          <t>Jaipur</t>
        </is>
      </c>
      <c r="H257" t="inlineStr">
        <is>
          <t>FedEx</t>
        </is>
      </c>
      <c r="I257" t="inlineStr">
        <is>
          <t>Van</t>
        </is>
      </c>
      <c r="J257" t="inlineStr">
        <is>
          <t>Critical</t>
        </is>
      </c>
      <c r="K257" t="inlineStr">
        <is>
          <t>Delivered</t>
        </is>
      </c>
      <c r="L257" t="n">
        <v>1895.85</v>
      </c>
      <c r="M257" t="n">
        <v>563</v>
      </c>
      <c r="N257" t="n">
        <v>27.6</v>
      </c>
      <c r="O257" t="n">
        <v>1713.11</v>
      </c>
      <c r="P257" t="n">
        <v>32.31</v>
      </c>
      <c r="Q257">
        <f>ROUND(L257*M257*N257/1000+O257+P257,2)</f>
        <v/>
      </c>
      <c r="R257" t="inlineStr">
        <is>
          <t>Yes</t>
        </is>
      </c>
      <c r="S257">
        <f>IF(OR(E257="",D257=""),"",MAX(0,E257-D257))</f>
        <v/>
      </c>
      <c r="T257" t="inlineStr">
        <is>
          <t>No</t>
        </is>
      </c>
      <c r="U257" t="n">
        <v>77</v>
      </c>
      <c r="V257" t="inlineStr">
        <is>
          <t>Pending</t>
        </is>
      </c>
      <c r="W257" t="n">
        <v>1</v>
      </c>
      <c r="X257" t="inlineStr">
        <is>
          <t>Customs</t>
        </is>
      </c>
    </row>
    <row r="258">
      <c r="A258" t="inlineStr">
        <is>
          <t>ORD-2026-00257</t>
        </is>
      </c>
      <c r="B258" t="inlineStr">
        <is>
          <t>CUST-0057</t>
        </is>
      </c>
      <c r="C258" s="3" t="n">
        <v>46118</v>
      </c>
      <c r="D258" s="3" t="n">
        <v>46122</v>
      </c>
      <c r="E258" s="3" t="n">
        <v>46122</v>
      </c>
      <c r="F258" t="inlineStr">
        <is>
          <t>Pune</t>
        </is>
      </c>
      <c r="G258" t="inlineStr">
        <is>
          <t>Mumbai</t>
        </is>
      </c>
      <c r="H258" t="inlineStr">
        <is>
          <t>Delhivery</t>
        </is>
      </c>
      <c r="I258" t="inlineStr">
        <is>
          <t>Truck</t>
        </is>
      </c>
      <c r="J258" t="inlineStr">
        <is>
          <t>High</t>
        </is>
      </c>
      <c r="K258" t="inlineStr">
        <is>
          <t>Delivered</t>
        </is>
      </c>
      <c r="L258" t="n">
        <v>987.1799999999999</v>
      </c>
      <c r="M258" t="n">
        <v>673</v>
      </c>
      <c r="N258" t="n">
        <v>48.75</v>
      </c>
      <c r="O258" t="n">
        <v>2226.99</v>
      </c>
      <c r="P258" t="n">
        <v>1246.07</v>
      </c>
      <c r="Q258">
        <f>ROUND(L258*M258*N258/1000+O258+P258,2)</f>
        <v/>
      </c>
      <c r="R258" t="inlineStr">
        <is>
          <t>Yes</t>
        </is>
      </c>
      <c r="S258">
        <f>IF(OR(E258="",D258=""),"",MAX(0,E258-D258))</f>
        <v/>
      </c>
      <c r="T258" t="inlineStr">
        <is>
          <t>No</t>
        </is>
      </c>
      <c r="U258" t="n">
        <v>69</v>
      </c>
      <c r="V258" t="inlineStr">
        <is>
          <t>COD</t>
        </is>
      </c>
      <c r="W258" t="n">
        <v>4</v>
      </c>
      <c r="X258" t="inlineStr">
        <is>
          <t>Address Error</t>
        </is>
      </c>
    </row>
    <row r="259">
      <c r="A259" t="inlineStr">
        <is>
          <t>ORD-2026-00258</t>
        </is>
      </c>
      <c r="B259" t="inlineStr">
        <is>
          <t>CUST-0083</t>
        </is>
      </c>
      <c r="C259" s="3" t="n">
        <v>46241</v>
      </c>
      <c r="D259" s="3" t="n">
        <v>46243</v>
      </c>
      <c r="E259" s="3" t="n">
        <v>46243</v>
      </c>
      <c r="F259" t="inlineStr">
        <is>
          <t>Ahmedabad</t>
        </is>
      </c>
      <c r="G259" t="inlineStr">
        <is>
          <t>Delhi</t>
        </is>
      </c>
      <c r="H259" t="inlineStr">
        <is>
          <t>BlueDart</t>
        </is>
      </c>
      <c r="I259" t="inlineStr">
        <is>
          <t>Bike</t>
        </is>
      </c>
      <c r="J259" t="inlineStr">
        <is>
          <t>Low</t>
        </is>
      </c>
      <c r="K259" t="inlineStr">
        <is>
          <t>Delivered</t>
        </is>
      </c>
      <c r="L259" t="n">
        <v>1592.41</v>
      </c>
      <c r="M259" t="n">
        <v>2535</v>
      </c>
      <c r="N259" t="n">
        <v>33.81</v>
      </c>
      <c r="O259" t="n">
        <v>9830.629999999999</v>
      </c>
      <c r="P259" t="n">
        <v>748.15</v>
      </c>
      <c r="Q259">
        <f>ROUND(L259*M259*N259/1000+O259+P259,2)</f>
        <v/>
      </c>
      <c r="R259" t="inlineStr">
        <is>
          <t>Yes</t>
        </is>
      </c>
      <c r="S259">
        <f>IF(OR(E259="",D259=""),"",MAX(0,E259-D259))</f>
        <v/>
      </c>
      <c r="T259" t="inlineStr">
        <is>
          <t>Yes</t>
        </is>
      </c>
      <c r="U259" t="n">
        <v>14</v>
      </c>
      <c r="V259" t="inlineStr">
        <is>
          <t>COD</t>
        </is>
      </c>
      <c r="W259" t="n">
        <v>3</v>
      </c>
      <c r="X259" t="inlineStr">
        <is>
          <t>Address Error</t>
        </is>
      </c>
    </row>
    <row r="260">
      <c r="A260" t="inlineStr">
        <is>
          <t>ORD-2026-00259</t>
        </is>
      </c>
      <c r="B260" t="inlineStr">
        <is>
          <t>CUST-0128</t>
        </is>
      </c>
      <c r="C260" s="3" t="n">
        <v>46206</v>
      </c>
      <c r="D260" s="3" t="n">
        <v>46214</v>
      </c>
      <c r="E260" s="3" t="n">
        <v>46215</v>
      </c>
      <c r="F260" t="inlineStr">
        <is>
          <t>Hyderabad</t>
        </is>
      </c>
      <c r="G260" t="inlineStr">
        <is>
          <t>Jaipur</t>
        </is>
      </c>
      <c r="H260" t="inlineStr">
        <is>
          <t>Maersk</t>
        </is>
      </c>
      <c r="I260" t="inlineStr">
        <is>
          <t>Van</t>
        </is>
      </c>
      <c r="J260" t="inlineStr">
        <is>
          <t>High</t>
        </is>
      </c>
      <c r="K260" t="inlineStr">
        <is>
          <t>Delivered</t>
        </is>
      </c>
      <c r="L260" t="n">
        <v>377.13</v>
      </c>
      <c r="M260" t="n">
        <v>2026</v>
      </c>
      <c r="N260" t="n">
        <v>20.38</v>
      </c>
      <c r="O260" t="n">
        <v>859.78</v>
      </c>
      <c r="P260" t="n">
        <v>1182.87</v>
      </c>
      <c r="Q260">
        <f>ROUND(L260*M260*N260/1000+O260+P260,2)</f>
        <v/>
      </c>
      <c r="R260" t="inlineStr">
        <is>
          <t>No</t>
        </is>
      </c>
      <c r="S260">
        <f>IF(OR(E260="",D260=""),"",MAX(0,E260-D260))</f>
        <v/>
      </c>
      <c r="T260" t="inlineStr">
        <is>
          <t>Yes</t>
        </is>
      </c>
      <c r="U260" t="n">
        <v>19</v>
      </c>
      <c r="V260" t="inlineStr">
        <is>
          <t>Paid</t>
        </is>
      </c>
      <c r="W260" t="n">
        <v>3</v>
      </c>
      <c r="X260" t="inlineStr">
        <is>
          <t>Customer Unavailable</t>
        </is>
      </c>
    </row>
    <row r="261">
      <c r="A261" t="inlineStr">
        <is>
          <t>ORD-2026-00260</t>
        </is>
      </c>
      <c r="B261" t="inlineStr">
        <is>
          <t>CUST-0197</t>
        </is>
      </c>
      <c r="C261" s="3" t="n">
        <v>46123</v>
      </c>
      <c r="D261" s="3" t="n">
        <v>46125</v>
      </c>
      <c r="E261" s="3" t="n">
        <v>46125</v>
      </c>
      <c r="F261" t="inlineStr">
        <is>
          <t>Bengaluru</t>
        </is>
      </c>
      <c r="G261" t="inlineStr">
        <is>
          <t>Chennai</t>
        </is>
      </c>
      <c r="H261" t="inlineStr">
        <is>
          <t>Aramex</t>
        </is>
      </c>
      <c r="I261" t="inlineStr">
        <is>
          <t>Container</t>
        </is>
      </c>
      <c r="J261" t="inlineStr">
        <is>
          <t>Normal</t>
        </is>
      </c>
      <c r="K261" t="inlineStr">
        <is>
          <t>Delivered</t>
        </is>
      </c>
      <c r="L261" t="n">
        <v>2239.3</v>
      </c>
      <c r="M261" t="n">
        <v>1029</v>
      </c>
      <c r="N261" t="n">
        <v>54.58</v>
      </c>
      <c r="O261" t="n">
        <v>10022.89</v>
      </c>
      <c r="P261" t="n">
        <v>200.5</v>
      </c>
      <c r="Q261">
        <f>ROUND(L261*M261*N261/1000+O261+P261,2)</f>
        <v/>
      </c>
      <c r="R261" t="inlineStr">
        <is>
          <t>Yes</t>
        </is>
      </c>
      <c r="S261">
        <f>IF(OR(E261="",D261=""),"",MAX(0,E261-D261))</f>
        <v/>
      </c>
      <c r="T261" t="inlineStr">
        <is>
          <t>Yes</t>
        </is>
      </c>
      <c r="U261" t="n">
        <v>26</v>
      </c>
      <c r="V261" t="inlineStr">
        <is>
          <t>Failed</t>
        </is>
      </c>
      <c r="W261" t="n">
        <v>1</v>
      </c>
      <c r="X261" t="inlineStr">
        <is>
          <t>Customs</t>
        </is>
      </c>
    </row>
    <row r="262">
      <c r="A262" t="inlineStr">
        <is>
          <t>ORD-2026-00261</t>
        </is>
      </c>
      <c r="B262" t="inlineStr">
        <is>
          <t>CUST-0141</t>
        </is>
      </c>
      <c r="C262" s="3" t="n">
        <v>46193</v>
      </c>
      <c r="D262" s="3" t="n">
        <v>46197</v>
      </c>
      <c r="E262" s="3" t="n">
        <v>46197</v>
      </c>
      <c r="F262" t="inlineStr">
        <is>
          <t>Surat</t>
        </is>
      </c>
      <c r="G262" t="inlineStr">
        <is>
          <t>Mumbai</t>
        </is>
      </c>
      <c r="H262" t="inlineStr">
        <is>
          <t>FedEx</t>
        </is>
      </c>
      <c r="I262" t="inlineStr">
        <is>
          <t>Container</t>
        </is>
      </c>
      <c r="J262" t="inlineStr">
        <is>
          <t>High</t>
        </is>
      </c>
      <c r="K262" t="inlineStr">
        <is>
          <t>Delivered</t>
        </is>
      </c>
      <c r="L262" t="n">
        <v>780.62</v>
      </c>
      <c r="M262" t="n">
        <v>1328</v>
      </c>
      <c r="N262" t="n">
        <v>17.04</v>
      </c>
      <c r="O262" t="n">
        <v>1301.79</v>
      </c>
      <c r="P262" t="n">
        <v>1122.19</v>
      </c>
      <c r="Q262">
        <f>ROUND(L262*M262*N262/1000+O262+P262,2)</f>
        <v/>
      </c>
      <c r="R262" t="inlineStr">
        <is>
          <t>Yes</t>
        </is>
      </c>
      <c r="S262">
        <f>IF(OR(E262="",D262=""),"",MAX(0,E262-D262))</f>
        <v/>
      </c>
      <c r="T262" t="inlineStr">
        <is>
          <t>Yes</t>
        </is>
      </c>
      <c r="U262" t="n">
        <v>47</v>
      </c>
      <c r="V262" t="inlineStr">
        <is>
          <t>Paid</t>
        </is>
      </c>
      <c r="W262" t="n">
        <v>2</v>
      </c>
      <c r="X262" t="inlineStr">
        <is>
          <t>None</t>
        </is>
      </c>
    </row>
    <row r="263">
      <c r="A263" t="inlineStr">
        <is>
          <t>ORD-2026-00262</t>
        </is>
      </c>
      <c r="B263" t="inlineStr">
        <is>
          <t>CUST-0149</t>
        </is>
      </c>
      <c r="C263" s="3" t="n">
        <v>46083</v>
      </c>
      <c r="D263" s="3" t="n">
        <v>46090</v>
      </c>
      <c r="E263" s="3" t="n">
        <v>46090</v>
      </c>
      <c r="F263" t="inlineStr">
        <is>
          <t>Jaipur</t>
        </is>
      </c>
      <c r="G263" t="inlineStr">
        <is>
          <t>Kolkata</t>
        </is>
      </c>
      <c r="H263" t="inlineStr">
        <is>
          <t>DHL</t>
        </is>
      </c>
      <c r="I263" t="inlineStr">
        <is>
          <t>Refrigerated Truck</t>
        </is>
      </c>
      <c r="J263" t="inlineStr">
        <is>
          <t>Low</t>
        </is>
      </c>
      <c r="K263" t="inlineStr">
        <is>
          <t>Delivered</t>
        </is>
      </c>
      <c r="L263" t="n">
        <v>690.61</v>
      </c>
      <c r="M263" t="n">
        <v>495</v>
      </c>
      <c r="N263" t="n">
        <v>30.56</v>
      </c>
      <c r="O263" t="n">
        <v>465.78</v>
      </c>
      <c r="P263" t="n">
        <v>1453.88</v>
      </c>
      <c r="Q263">
        <f>ROUND(L263*M263*N263/1000+O263+P263,2)</f>
        <v/>
      </c>
      <c r="R263" t="inlineStr">
        <is>
          <t>Yes</t>
        </is>
      </c>
      <c r="S263">
        <f>IF(OR(E263="",D263=""),"",MAX(0,E263-D263))</f>
        <v/>
      </c>
      <c r="T263" t="inlineStr">
        <is>
          <t>Yes</t>
        </is>
      </c>
      <c r="U263" t="n">
        <v>21</v>
      </c>
      <c r="V263" t="inlineStr">
        <is>
          <t>Failed</t>
        </is>
      </c>
      <c r="W263" t="n">
        <v>1</v>
      </c>
      <c r="X263" t="inlineStr">
        <is>
          <t>Damaged Package</t>
        </is>
      </c>
    </row>
    <row r="264">
      <c r="A264" t="inlineStr">
        <is>
          <t>ORD-2026-00263</t>
        </is>
      </c>
      <c r="B264" t="inlineStr">
        <is>
          <t>CUST-0028</t>
        </is>
      </c>
      <c r="C264" s="3" t="n">
        <v>46181</v>
      </c>
      <c r="D264" s="3" t="n">
        <v>46187</v>
      </c>
      <c r="E264" s="3" t="n">
        <v>46192</v>
      </c>
      <c r="F264" t="inlineStr">
        <is>
          <t>Delhi</t>
        </is>
      </c>
      <c r="G264" t="inlineStr">
        <is>
          <t>Jaipur</t>
        </is>
      </c>
      <c r="H264" t="inlineStr">
        <is>
          <t>DHL</t>
        </is>
      </c>
      <c r="I264" t="inlineStr">
        <is>
          <t>Refrigerated Truck</t>
        </is>
      </c>
      <c r="J264" t="inlineStr">
        <is>
          <t>High</t>
        </is>
      </c>
      <c r="K264" t="inlineStr">
        <is>
          <t>Delivered</t>
        </is>
      </c>
      <c r="L264" t="n">
        <v>1563.02</v>
      </c>
      <c r="M264" t="n">
        <v>249</v>
      </c>
      <c r="N264" t="n">
        <v>28.26</v>
      </c>
      <c r="O264" t="n">
        <v>431.53</v>
      </c>
      <c r="P264" t="n">
        <v>813.8</v>
      </c>
      <c r="Q264">
        <f>ROUND(L264*M264*N264/1000+O264+P264,2)</f>
        <v/>
      </c>
      <c r="R264" t="inlineStr">
        <is>
          <t>No</t>
        </is>
      </c>
      <c r="S264">
        <f>IF(OR(E264="",D264=""),"",MAX(0,E264-D264))</f>
        <v/>
      </c>
      <c r="T264" t="inlineStr">
        <is>
          <t>No</t>
        </is>
      </c>
      <c r="U264" t="n">
        <v>25</v>
      </c>
      <c r="V264" t="inlineStr">
        <is>
          <t>Paid</t>
        </is>
      </c>
      <c r="W264" t="n">
        <v>4</v>
      </c>
      <c r="X264" t="inlineStr">
        <is>
          <t>Vehicle Breakdown</t>
        </is>
      </c>
    </row>
    <row r="265">
      <c r="A265" t="inlineStr">
        <is>
          <t>ORD-2026-00264</t>
        </is>
      </c>
      <c r="B265" t="inlineStr">
        <is>
          <t>CUST-0090</t>
        </is>
      </c>
      <c r="C265" s="3" t="n">
        <v>46208</v>
      </c>
      <c r="D265" s="3" t="n">
        <v>46211</v>
      </c>
      <c r="E265" s="3" t="n"/>
      <c r="F265" t="inlineStr">
        <is>
          <t>Hyderabad</t>
        </is>
      </c>
      <c r="G265" t="inlineStr">
        <is>
          <t>Jaipur</t>
        </is>
      </c>
      <c r="H265" t="inlineStr">
        <is>
          <t>FedEx</t>
        </is>
      </c>
      <c r="I265" t="inlineStr">
        <is>
          <t>Bike</t>
        </is>
      </c>
      <c r="J265" t="inlineStr">
        <is>
          <t>Normal</t>
        </is>
      </c>
      <c r="K265" t="inlineStr">
        <is>
          <t>Exception</t>
        </is>
      </c>
      <c r="L265" t="n">
        <v>1397.78</v>
      </c>
      <c r="M265" t="n">
        <v>2228</v>
      </c>
      <c r="N265" t="n">
        <v>47.73</v>
      </c>
      <c r="O265" t="n">
        <v>6151.83</v>
      </c>
      <c r="P265" t="n">
        <v>296.21</v>
      </c>
      <c r="Q265">
        <f>ROUND(L265*M265*N265/1000+O265+P265,2)</f>
        <v/>
      </c>
      <c r="R265" t="inlineStr">
        <is>
          <t>No</t>
        </is>
      </c>
      <c r="S265">
        <f>IF(OR(E265="",D265=""),"",MAX(0,E265-D265))</f>
        <v/>
      </c>
      <c r="T265" t="inlineStr">
        <is>
          <t>Yes</t>
        </is>
      </c>
      <c r="U265" t="n">
        <v>68</v>
      </c>
      <c r="V265" t="inlineStr">
        <is>
          <t>Pending</t>
        </is>
      </c>
      <c r="W265" t="n">
        <v>4</v>
      </c>
      <c r="X265" t="inlineStr">
        <is>
          <t>Vehicle Breakdown</t>
        </is>
      </c>
    </row>
    <row r="266">
      <c r="A266" t="inlineStr">
        <is>
          <t>ORD-2026-00265</t>
        </is>
      </c>
      <c r="B266" t="inlineStr">
        <is>
          <t>CUST-0220</t>
        </is>
      </c>
      <c r="C266" s="3" t="n">
        <v>46232</v>
      </c>
      <c r="D266" s="3" t="n">
        <v>46237</v>
      </c>
      <c r="E266" s="3" t="n">
        <v>46237</v>
      </c>
      <c r="F266" t="inlineStr">
        <is>
          <t>Hyderabad</t>
        </is>
      </c>
      <c r="G266" t="inlineStr">
        <is>
          <t>Kolkata</t>
        </is>
      </c>
      <c r="H266" t="inlineStr">
        <is>
          <t>DHL</t>
        </is>
      </c>
      <c r="I266" t="inlineStr">
        <is>
          <t>Refrigerated Truck</t>
        </is>
      </c>
      <c r="J266" t="inlineStr">
        <is>
          <t>Low</t>
        </is>
      </c>
      <c r="K266" t="inlineStr">
        <is>
          <t>Delivered</t>
        </is>
      </c>
      <c r="L266" t="n">
        <v>1939.91</v>
      </c>
      <c r="M266" t="n">
        <v>2077</v>
      </c>
      <c r="N266" t="n">
        <v>29.61</v>
      </c>
      <c r="O266" t="n">
        <v>4907.24</v>
      </c>
      <c r="P266" t="n">
        <v>47.71</v>
      </c>
      <c r="Q266">
        <f>ROUND(L266*M266*N266/1000+O266+P266,2)</f>
        <v/>
      </c>
      <c r="R266" t="inlineStr">
        <is>
          <t>Yes</t>
        </is>
      </c>
      <c r="S266">
        <f>IF(OR(E266="",D266=""),"",MAX(0,E266-D266))</f>
        <v/>
      </c>
      <c r="T266" t="inlineStr">
        <is>
          <t>No</t>
        </is>
      </c>
      <c r="U266" t="n">
        <v>25</v>
      </c>
      <c r="V266" t="inlineStr">
        <is>
          <t>Failed</t>
        </is>
      </c>
      <c r="W266" t="n">
        <v>5</v>
      </c>
      <c r="X266" t="inlineStr">
        <is>
          <t>Address Error</t>
        </is>
      </c>
    </row>
    <row r="267">
      <c r="A267" t="inlineStr">
        <is>
          <t>ORD-2026-00266</t>
        </is>
      </c>
      <c r="B267" t="inlineStr">
        <is>
          <t>CUST-0046</t>
        </is>
      </c>
      <c r="C267" s="3" t="n">
        <v>46179</v>
      </c>
      <c r="D267" s="3" t="n">
        <v>46184</v>
      </c>
      <c r="E267" s="3" t="n">
        <v>46184</v>
      </c>
      <c r="F267" t="inlineStr">
        <is>
          <t>Ahmedabad</t>
        </is>
      </c>
      <c r="G267" t="inlineStr">
        <is>
          <t>Bengaluru</t>
        </is>
      </c>
      <c r="H267" t="inlineStr">
        <is>
          <t>BlueDart</t>
        </is>
      </c>
      <c r="I267" t="inlineStr">
        <is>
          <t>Container</t>
        </is>
      </c>
      <c r="J267" t="inlineStr">
        <is>
          <t>Normal</t>
        </is>
      </c>
      <c r="K267" t="inlineStr">
        <is>
          <t>Delivered</t>
        </is>
      </c>
      <c r="L267" t="n">
        <v>276.61</v>
      </c>
      <c r="M267" t="n">
        <v>2148</v>
      </c>
      <c r="N267" t="n">
        <v>45.56</v>
      </c>
      <c r="O267" t="n">
        <v>883.2</v>
      </c>
      <c r="P267" t="n">
        <v>1407.94</v>
      </c>
      <c r="Q267">
        <f>ROUND(L267*M267*N267/1000+O267+P267,2)</f>
        <v/>
      </c>
      <c r="R267" t="inlineStr">
        <is>
          <t>Yes</t>
        </is>
      </c>
      <c r="S267">
        <f>IF(OR(E267="",D267=""),"",MAX(0,E267-D267))</f>
        <v/>
      </c>
      <c r="T267" t="inlineStr">
        <is>
          <t>Yes</t>
        </is>
      </c>
      <c r="U267" t="n">
        <v>5</v>
      </c>
      <c r="V267" t="inlineStr">
        <is>
          <t>Failed</t>
        </is>
      </c>
      <c r="W267" t="n">
        <v>4</v>
      </c>
      <c r="X267" t="inlineStr">
        <is>
          <t>Customs</t>
        </is>
      </c>
    </row>
    <row r="268">
      <c r="A268" t="inlineStr">
        <is>
          <t>ORD-2026-00267</t>
        </is>
      </c>
      <c r="B268" t="inlineStr">
        <is>
          <t>CUST-0228</t>
        </is>
      </c>
      <c r="C268" s="3" t="n">
        <v>46182</v>
      </c>
      <c r="D268" s="3" t="n">
        <v>46187</v>
      </c>
      <c r="E268" s="3" t="n">
        <v>46187</v>
      </c>
      <c r="F268" t="inlineStr">
        <is>
          <t>Mumbai</t>
        </is>
      </c>
      <c r="G268" t="inlineStr">
        <is>
          <t>Jaipur</t>
        </is>
      </c>
      <c r="H268" t="inlineStr">
        <is>
          <t>Aramex</t>
        </is>
      </c>
      <c r="I268" t="inlineStr">
        <is>
          <t>Van</t>
        </is>
      </c>
      <c r="J268" t="inlineStr">
        <is>
          <t>High</t>
        </is>
      </c>
      <c r="K268" t="inlineStr">
        <is>
          <t>Delivered</t>
        </is>
      </c>
      <c r="L268" t="n">
        <v>1794.75</v>
      </c>
      <c r="M268" t="n">
        <v>58</v>
      </c>
      <c r="N268" t="n">
        <v>61.02</v>
      </c>
      <c r="O268" t="n">
        <v>270.11</v>
      </c>
      <c r="P268" t="n">
        <v>747.28</v>
      </c>
      <c r="Q268">
        <f>ROUND(L268*M268*N268/1000+O268+P268,2)</f>
        <v/>
      </c>
      <c r="R268" t="inlineStr">
        <is>
          <t>Yes</t>
        </is>
      </c>
      <c r="S268">
        <f>IF(OR(E268="",D268=""),"",MAX(0,E268-D268))</f>
        <v/>
      </c>
      <c r="T268" t="inlineStr">
        <is>
          <t>No</t>
        </is>
      </c>
      <c r="U268" t="n">
        <v>48</v>
      </c>
      <c r="V268" t="inlineStr">
        <is>
          <t>Paid</t>
        </is>
      </c>
      <c r="W268" t="n">
        <v>5</v>
      </c>
      <c r="X268" t="inlineStr">
        <is>
          <t>Vehicle Breakdown</t>
        </is>
      </c>
    </row>
    <row r="269">
      <c r="A269" t="inlineStr">
        <is>
          <t>ORD-2026-00268</t>
        </is>
      </c>
      <c r="B269" t="inlineStr">
        <is>
          <t>CUST-0137</t>
        </is>
      </c>
      <c r="C269" s="3" t="n">
        <v>46158</v>
      </c>
      <c r="D269" s="3" t="n">
        <v>46159</v>
      </c>
      <c r="E269" s="3" t="n">
        <v>46161</v>
      </c>
      <c r="F269" t="inlineStr">
        <is>
          <t>Chennai</t>
        </is>
      </c>
      <c r="G269" t="inlineStr">
        <is>
          <t>Bengaluru</t>
        </is>
      </c>
      <c r="H269" t="inlineStr">
        <is>
          <t>DHL</t>
        </is>
      </c>
      <c r="I269" t="inlineStr">
        <is>
          <t>Bike</t>
        </is>
      </c>
      <c r="J269" t="inlineStr">
        <is>
          <t>Normal</t>
        </is>
      </c>
      <c r="K269" t="inlineStr">
        <is>
          <t>Delivered</t>
        </is>
      </c>
      <c r="L269" t="n">
        <v>195.3</v>
      </c>
      <c r="M269" t="n">
        <v>889</v>
      </c>
      <c r="N269" t="n">
        <v>62.75</v>
      </c>
      <c r="O269" t="n">
        <v>390.33</v>
      </c>
      <c r="P269" t="n">
        <v>1093.25</v>
      </c>
      <c r="Q269">
        <f>ROUND(L269*M269*N269/1000+O269+P269,2)</f>
        <v/>
      </c>
      <c r="R269" t="inlineStr">
        <is>
          <t>No</t>
        </is>
      </c>
      <c r="S269">
        <f>IF(OR(E269="",D269=""),"",MAX(0,E269-D269))</f>
        <v/>
      </c>
      <c r="T269" t="inlineStr">
        <is>
          <t>Yes</t>
        </is>
      </c>
      <c r="U269" t="n">
        <v>72</v>
      </c>
      <c r="V269" t="inlineStr">
        <is>
          <t>Failed</t>
        </is>
      </c>
      <c r="W269" t="n">
        <v>1</v>
      </c>
      <c r="X269" t="inlineStr">
        <is>
          <t>Customer Unavailable</t>
        </is>
      </c>
    </row>
    <row r="270">
      <c r="A270" t="inlineStr">
        <is>
          <t>ORD-2026-00269</t>
        </is>
      </c>
      <c r="B270" t="inlineStr">
        <is>
          <t>CUST-0087</t>
        </is>
      </c>
      <c r="C270" s="3" t="n">
        <v>46186</v>
      </c>
      <c r="D270" s="3" t="n">
        <v>46192</v>
      </c>
      <c r="E270" s="3" t="n">
        <v>46193</v>
      </c>
      <c r="F270" t="inlineStr">
        <is>
          <t>Delhi</t>
        </is>
      </c>
      <c r="G270" t="inlineStr">
        <is>
          <t>Surat</t>
        </is>
      </c>
      <c r="H270" t="inlineStr">
        <is>
          <t>DTDC</t>
        </is>
      </c>
      <c r="I270" t="inlineStr">
        <is>
          <t>Container</t>
        </is>
      </c>
      <c r="J270" t="inlineStr">
        <is>
          <t>High</t>
        </is>
      </c>
      <c r="K270" t="inlineStr">
        <is>
          <t>Delivered</t>
        </is>
      </c>
      <c r="L270" t="n">
        <v>1067.97</v>
      </c>
      <c r="M270" t="n">
        <v>431</v>
      </c>
      <c r="N270" t="n">
        <v>17.51</v>
      </c>
      <c r="O270" t="n">
        <v>329.03</v>
      </c>
      <c r="P270" t="n">
        <v>614.3</v>
      </c>
      <c r="Q270">
        <f>ROUND(L270*M270*N270/1000+O270+P270,2)</f>
        <v/>
      </c>
      <c r="R270" t="inlineStr">
        <is>
          <t>No</t>
        </is>
      </c>
      <c r="S270">
        <f>IF(OR(E270="",D270=""),"",MAX(0,E270-D270))</f>
        <v/>
      </c>
      <c r="T270" t="inlineStr">
        <is>
          <t>No</t>
        </is>
      </c>
      <c r="U270" t="n">
        <v>71</v>
      </c>
      <c r="V270" t="inlineStr">
        <is>
          <t>COD</t>
        </is>
      </c>
      <c r="W270" t="n">
        <v>3</v>
      </c>
      <c r="X270" t="inlineStr">
        <is>
          <t>Weather</t>
        </is>
      </c>
    </row>
    <row r="271">
      <c r="A271" t="inlineStr">
        <is>
          <t>ORD-2026-00270</t>
        </is>
      </c>
      <c r="B271" t="inlineStr">
        <is>
          <t>CUST-0066</t>
        </is>
      </c>
      <c r="C271" s="3" t="n">
        <v>46218</v>
      </c>
      <c r="D271" s="3" t="n">
        <v>46225</v>
      </c>
      <c r="E271" s="3" t="n">
        <v>46227</v>
      </c>
      <c r="F271" t="inlineStr">
        <is>
          <t>Hyderabad</t>
        </is>
      </c>
      <c r="G271" t="inlineStr">
        <is>
          <t>Jaipur</t>
        </is>
      </c>
      <c r="H271" t="inlineStr">
        <is>
          <t>Delhivery</t>
        </is>
      </c>
      <c r="I271" t="inlineStr">
        <is>
          <t>Container</t>
        </is>
      </c>
      <c r="J271" t="inlineStr">
        <is>
          <t>Low</t>
        </is>
      </c>
      <c r="K271" t="inlineStr">
        <is>
          <t>Delivered</t>
        </is>
      </c>
      <c r="L271" t="n">
        <v>602.1900000000001</v>
      </c>
      <c r="M271" t="n">
        <v>2239</v>
      </c>
      <c r="N271" t="n">
        <v>20.19</v>
      </c>
      <c r="O271" t="n">
        <v>2067.33</v>
      </c>
      <c r="P271" t="n">
        <v>1390.7</v>
      </c>
      <c r="Q271">
        <f>ROUND(L271*M271*N271/1000+O271+P271,2)</f>
        <v/>
      </c>
      <c r="R271" t="inlineStr">
        <is>
          <t>No</t>
        </is>
      </c>
      <c r="S271">
        <f>IF(OR(E271="",D271=""),"",MAX(0,E271-D271))</f>
        <v/>
      </c>
      <c r="T271" t="inlineStr">
        <is>
          <t>Yes</t>
        </is>
      </c>
      <c r="U271" t="n">
        <v>37</v>
      </c>
      <c r="V271" t="inlineStr">
        <is>
          <t>Paid</t>
        </is>
      </c>
      <c r="W271" t="n">
        <v>5</v>
      </c>
      <c r="X271" t="inlineStr">
        <is>
          <t>Address Error</t>
        </is>
      </c>
    </row>
    <row r="272">
      <c r="A272" t="inlineStr">
        <is>
          <t>ORD-2026-00271</t>
        </is>
      </c>
      <c r="B272" t="inlineStr">
        <is>
          <t>CUST-0236</t>
        </is>
      </c>
      <c r="C272" s="3" t="n">
        <v>46100</v>
      </c>
      <c r="D272" s="3" t="n">
        <v>46101</v>
      </c>
      <c r="E272" s="3" t="n">
        <v>46101</v>
      </c>
      <c r="F272" t="inlineStr">
        <is>
          <t>Surat</t>
        </is>
      </c>
      <c r="G272" t="inlineStr">
        <is>
          <t>Surat</t>
        </is>
      </c>
      <c r="H272" t="inlineStr">
        <is>
          <t>DTDC</t>
        </is>
      </c>
      <c r="I272" t="inlineStr">
        <is>
          <t>Bike</t>
        </is>
      </c>
      <c r="J272" t="inlineStr">
        <is>
          <t>Normal</t>
        </is>
      </c>
      <c r="K272" t="inlineStr">
        <is>
          <t>Delivered</t>
        </is>
      </c>
      <c r="L272" t="n">
        <v>2139.37</v>
      </c>
      <c r="M272" t="n">
        <v>93</v>
      </c>
      <c r="N272" t="n">
        <v>51.98</v>
      </c>
      <c r="O272" t="n">
        <v>895.63</v>
      </c>
      <c r="P272" t="n">
        <v>1237.06</v>
      </c>
      <c r="Q272">
        <f>ROUND(L272*M272*N272/1000+O272+P272,2)</f>
        <v/>
      </c>
      <c r="R272" t="inlineStr">
        <is>
          <t>Yes</t>
        </is>
      </c>
      <c r="S272">
        <f>IF(OR(E272="",D272=""),"",MAX(0,E272-D272))</f>
        <v/>
      </c>
      <c r="T272" t="inlineStr">
        <is>
          <t>Yes</t>
        </is>
      </c>
      <c r="U272" t="n">
        <v>5</v>
      </c>
      <c r="V272" t="inlineStr">
        <is>
          <t>Failed</t>
        </is>
      </c>
      <c r="W272" t="n">
        <v>3</v>
      </c>
      <c r="X272" t="inlineStr">
        <is>
          <t>Address Error</t>
        </is>
      </c>
    </row>
    <row r="273">
      <c r="A273" t="inlineStr">
        <is>
          <t>ORD-2026-00272</t>
        </is>
      </c>
      <c r="B273" t="inlineStr">
        <is>
          <t>CUST-0188</t>
        </is>
      </c>
      <c r="C273" s="3" t="n">
        <v>46058</v>
      </c>
      <c r="D273" s="3" t="n">
        <v>46063</v>
      </c>
      <c r="E273" s="3" t="n">
        <v>46063</v>
      </c>
      <c r="F273" t="inlineStr">
        <is>
          <t>Mumbai</t>
        </is>
      </c>
      <c r="G273" t="inlineStr">
        <is>
          <t>Hyderabad</t>
        </is>
      </c>
      <c r="H273" t="inlineStr">
        <is>
          <t>Aramex</t>
        </is>
      </c>
      <c r="I273" t="inlineStr">
        <is>
          <t>Container</t>
        </is>
      </c>
      <c r="J273" t="inlineStr">
        <is>
          <t>Normal</t>
        </is>
      </c>
      <c r="K273" t="inlineStr">
        <is>
          <t>Delivered</t>
        </is>
      </c>
      <c r="L273" t="n">
        <v>582.87</v>
      </c>
      <c r="M273" t="n">
        <v>1235</v>
      </c>
      <c r="N273" t="n">
        <v>13.24</v>
      </c>
      <c r="O273" t="n">
        <v>514.54</v>
      </c>
      <c r="P273" t="n">
        <v>1378.47</v>
      </c>
      <c r="Q273">
        <f>ROUND(L273*M273*N273/1000+O273+P273,2)</f>
        <v/>
      </c>
      <c r="R273" t="inlineStr">
        <is>
          <t>Yes</t>
        </is>
      </c>
      <c r="S273">
        <f>IF(OR(E273="",D273=""),"",MAX(0,E273-D273))</f>
        <v/>
      </c>
      <c r="T273" t="inlineStr">
        <is>
          <t>No</t>
        </is>
      </c>
      <c r="U273" t="n">
        <v>74</v>
      </c>
      <c r="V273" t="inlineStr">
        <is>
          <t>Paid</t>
        </is>
      </c>
      <c r="W273" t="n">
        <v>5</v>
      </c>
      <c r="X273" t="inlineStr">
        <is>
          <t>Damaged Package</t>
        </is>
      </c>
    </row>
    <row r="274">
      <c r="A274" t="inlineStr">
        <is>
          <t>ORD-2026-00273</t>
        </is>
      </c>
      <c r="B274" t="inlineStr">
        <is>
          <t>CUST-0112</t>
        </is>
      </c>
      <c r="C274" s="3" t="n">
        <v>46099</v>
      </c>
      <c r="D274" s="3" t="n">
        <v>46100</v>
      </c>
      <c r="E274" s="3" t="n">
        <v>46102</v>
      </c>
      <c r="F274" t="inlineStr">
        <is>
          <t>Chennai</t>
        </is>
      </c>
      <c r="G274" t="inlineStr">
        <is>
          <t>Mumbai</t>
        </is>
      </c>
      <c r="H274" t="inlineStr">
        <is>
          <t>Aramex</t>
        </is>
      </c>
      <c r="I274" t="inlineStr">
        <is>
          <t>Truck</t>
        </is>
      </c>
      <c r="J274" t="inlineStr">
        <is>
          <t>Low</t>
        </is>
      </c>
      <c r="K274" t="inlineStr">
        <is>
          <t>Delivered</t>
        </is>
      </c>
      <c r="L274" t="n">
        <v>196.65</v>
      </c>
      <c r="M274" t="n">
        <v>234</v>
      </c>
      <c r="N274" t="n">
        <v>60.55</v>
      </c>
      <c r="O274" t="n">
        <v>139.49</v>
      </c>
      <c r="P274" t="n">
        <v>1322.09</v>
      </c>
      <c r="Q274">
        <f>ROUND(L274*M274*N274/1000+O274+P274,2)</f>
        <v/>
      </c>
      <c r="R274" t="inlineStr">
        <is>
          <t>No</t>
        </is>
      </c>
      <c r="S274">
        <f>IF(OR(E274="",D274=""),"",MAX(0,E274-D274))</f>
        <v/>
      </c>
      <c r="T274" t="inlineStr">
        <is>
          <t>No</t>
        </is>
      </c>
      <c r="U274" t="n">
        <v>7</v>
      </c>
      <c r="V274" t="inlineStr">
        <is>
          <t>COD</t>
        </is>
      </c>
      <c r="W274" t="n">
        <v>5</v>
      </c>
      <c r="X274" t="inlineStr">
        <is>
          <t>None</t>
        </is>
      </c>
    </row>
    <row r="275">
      <c r="A275" t="inlineStr">
        <is>
          <t>ORD-2026-00274</t>
        </is>
      </c>
      <c r="B275" t="inlineStr">
        <is>
          <t>CUST-0153</t>
        </is>
      </c>
      <c r="C275" s="3" t="n">
        <v>46104</v>
      </c>
      <c r="D275" s="3" t="n">
        <v>46107</v>
      </c>
      <c r="E275" s="3" t="n">
        <v>46107</v>
      </c>
      <c r="F275" t="inlineStr">
        <is>
          <t>Kolkata</t>
        </is>
      </c>
      <c r="G275" t="inlineStr">
        <is>
          <t>Surat</t>
        </is>
      </c>
      <c r="H275" t="inlineStr">
        <is>
          <t>BlueDart</t>
        </is>
      </c>
      <c r="I275" t="inlineStr">
        <is>
          <t>Truck</t>
        </is>
      </c>
      <c r="J275" t="inlineStr">
        <is>
          <t>Critical</t>
        </is>
      </c>
      <c r="K275" t="inlineStr">
        <is>
          <t>Delivered</t>
        </is>
      </c>
      <c r="L275" t="n">
        <v>383.42</v>
      </c>
      <c r="M275" t="n">
        <v>2764</v>
      </c>
      <c r="N275" t="n">
        <v>49.7</v>
      </c>
      <c r="O275" t="n">
        <v>2821.73</v>
      </c>
      <c r="P275" t="n">
        <v>679.51</v>
      </c>
      <c r="Q275">
        <f>ROUND(L275*M275*N275/1000+O275+P275,2)</f>
        <v/>
      </c>
      <c r="R275" t="inlineStr">
        <is>
          <t>Yes</t>
        </is>
      </c>
      <c r="S275">
        <f>IF(OR(E275="",D275=""),"",MAX(0,E275-D275))</f>
        <v/>
      </c>
      <c r="T275" t="inlineStr">
        <is>
          <t>No</t>
        </is>
      </c>
      <c r="U275" t="n">
        <v>51</v>
      </c>
      <c r="V275" t="inlineStr">
        <is>
          <t>Pending</t>
        </is>
      </c>
      <c r="W275" t="n">
        <v>2</v>
      </c>
      <c r="X275" t="inlineStr">
        <is>
          <t>Vehicle Breakdown</t>
        </is>
      </c>
    </row>
    <row r="276">
      <c r="A276" t="inlineStr">
        <is>
          <t>ORD-2026-00275</t>
        </is>
      </c>
      <c r="B276" t="inlineStr">
        <is>
          <t>CUST-0035</t>
        </is>
      </c>
      <c r="C276" s="3" t="n">
        <v>46044</v>
      </c>
      <c r="D276" s="3" t="n">
        <v>46052</v>
      </c>
      <c r="E276" s="3" t="n"/>
      <c r="F276" t="inlineStr">
        <is>
          <t>Jaipur</t>
        </is>
      </c>
      <c r="G276" t="inlineStr">
        <is>
          <t>Surat</t>
        </is>
      </c>
      <c r="H276" t="inlineStr">
        <is>
          <t>DHL</t>
        </is>
      </c>
      <c r="I276" t="inlineStr">
        <is>
          <t>Container</t>
        </is>
      </c>
      <c r="J276" t="inlineStr">
        <is>
          <t>Critical</t>
        </is>
      </c>
      <c r="K276" t="inlineStr">
        <is>
          <t>Exception</t>
        </is>
      </c>
      <c r="L276" t="n">
        <v>656.76</v>
      </c>
      <c r="M276" t="n">
        <v>1637</v>
      </c>
      <c r="N276" t="n">
        <v>36.6</v>
      </c>
      <c r="O276" t="n">
        <v>3007.44</v>
      </c>
      <c r="P276" t="n">
        <v>212.96</v>
      </c>
      <c r="Q276">
        <f>ROUND(L276*M276*N276/1000+O276+P276,2)</f>
        <v/>
      </c>
      <c r="R276" t="inlineStr">
        <is>
          <t>No</t>
        </is>
      </c>
      <c r="S276">
        <f>IF(OR(E276="",D276=""),"",MAX(0,E276-D276))</f>
        <v/>
      </c>
      <c r="T276" t="inlineStr">
        <is>
          <t>Yes</t>
        </is>
      </c>
      <c r="U276" t="n">
        <v>72</v>
      </c>
      <c r="V276" t="inlineStr">
        <is>
          <t>Pending</t>
        </is>
      </c>
      <c r="W276" t="n">
        <v>2</v>
      </c>
      <c r="X276" t="inlineStr">
        <is>
          <t>None</t>
        </is>
      </c>
    </row>
    <row r="277">
      <c r="A277" t="inlineStr">
        <is>
          <t>ORD-2026-00276</t>
        </is>
      </c>
      <c r="B277" t="inlineStr">
        <is>
          <t>CUST-0089</t>
        </is>
      </c>
      <c r="C277" s="3" t="n">
        <v>46091</v>
      </c>
      <c r="D277" s="3" t="n">
        <v>46098</v>
      </c>
      <c r="E277" s="3" t="n">
        <v>46098</v>
      </c>
      <c r="F277" t="inlineStr">
        <is>
          <t>Kolkata</t>
        </is>
      </c>
      <c r="G277" t="inlineStr">
        <is>
          <t>Ahmedabad</t>
        </is>
      </c>
      <c r="H277" t="inlineStr">
        <is>
          <t>Aramex</t>
        </is>
      </c>
      <c r="I277" t="inlineStr">
        <is>
          <t>Refrigerated Truck</t>
        </is>
      </c>
      <c r="J277" t="inlineStr">
        <is>
          <t>Normal</t>
        </is>
      </c>
      <c r="K277" t="inlineStr">
        <is>
          <t>Delivered</t>
        </is>
      </c>
      <c r="L277" t="n">
        <v>224.44</v>
      </c>
      <c r="M277" t="n">
        <v>2756</v>
      </c>
      <c r="N277" t="n">
        <v>31.57</v>
      </c>
      <c r="O277" t="n">
        <v>1013.81</v>
      </c>
      <c r="P277" t="n">
        <v>301.92</v>
      </c>
      <c r="Q277">
        <f>ROUND(L277*M277*N277/1000+O277+P277,2)</f>
        <v/>
      </c>
      <c r="R277" t="inlineStr">
        <is>
          <t>Yes</t>
        </is>
      </c>
      <c r="S277">
        <f>IF(OR(E277="",D277=""),"",MAX(0,E277-D277))</f>
        <v/>
      </c>
      <c r="T277" t="inlineStr">
        <is>
          <t>No</t>
        </is>
      </c>
      <c r="U277" t="n">
        <v>79</v>
      </c>
      <c r="V277" t="inlineStr">
        <is>
          <t>Failed</t>
        </is>
      </c>
      <c r="W277" t="n">
        <v>5</v>
      </c>
      <c r="X277" t="inlineStr">
        <is>
          <t>Address Error</t>
        </is>
      </c>
    </row>
    <row r="278">
      <c r="A278" t="inlineStr">
        <is>
          <t>ORD-2026-00277</t>
        </is>
      </c>
      <c r="B278" t="inlineStr">
        <is>
          <t>CUST-0014</t>
        </is>
      </c>
      <c r="C278" s="3" t="n">
        <v>46135</v>
      </c>
      <c r="D278" s="3" t="n">
        <v>46136</v>
      </c>
      <c r="E278" s="3" t="n">
        <v>46141</v>
      </c>
      <c r="F278" t="inlineStr">
        <is>
          <t>Bengaluru</t>
        </is>
      </c>
      <c r="G278" t="inlineStr">
        <is>
          <t>Kolkata</t>
        </is>
      </c>
      <c r="H278" t="inlineStr">
        <is>
          <t>DHL</t>
        </is>
      </c>
      <c r="I278" t="inlineStr">
        <is>
          <t>Refrigerated Truck</t>
        </is>
      </c>
      <c r="J278" t="inlineStr">
        <is>
          <t>Low</t>
        </is>
      </c>
      <c r="K278" t="inlineStr">
        <is>
          <t>Delivered</t>
        </is>
      </c>
      <c r="L278" t="n">
        <v>1713.56</v>
      </c>
      <c r="M278" t="n">
        <v>643</v>
      </c>
      <c r="N278" t="n">
        <v>51.19</v>
      </c>
      <c r="O278" t="n">
        <v>4577.93</v>
      </c>
      <c r="P278" t="n">
        <v>186.31</v>
      </c>
      <c r="Q278">
        <f>ROUND(L278*M278*N278/1000+O278+P278,2)</f>
        <v/>
      </c>
      <c r="R278" t="inlineStr">
        <is>
          <t>No</t>
        </is>
      </c>
      <c r="S278">
        <f>IF(OR(E278="",D278=""),"",MAX(0,E278-D278))</f>
        <v/>
      </c>
      <c r="T278" t="inlineStr">
        <is>
          <t>No</t>
        </is>
      </c>
      <c r="U278" t="n">
        <v>15</v>
      </c>
      <c r="V278" t="inlineStr">
        <is>
          <t>COD</t>
        </is>
      </c>
      <c r="W278" t="n">
        <v>4</v>
      </c>
      <c r="X278" t="inlineStr">
        <is>
          <t>Weather</t>
        </is>
      </c>
    </row>
    <row r="279">
      <c r="A279" t="inlineStr">
        <is>
          <t>ORD-2026-00278</t>
        </is>
      </c>
      <c r="B279" t="inlineStr">
        <is>
          <t>CUST-0037</t>
        </is>
      </c>
      <c r="C279" s="3" t="n">
        <v>46028</v>
      </c>
      <c r="D279" s="3" t="n">
        <v>46034</v>
      </c>
      <c r="E279" s="3" t="n">
        <v>46034</v>
      </c>
      <c r="F279" t="inlineStr">
        <is>
          <t>Ahmedabad</t>
        </is>
      </c>
      <c r="G279" t="inlineStr">
        <is>
          <t>Chennai</t>
        </is>
      </c>
      <c r="H279" t="inlineStr">
        <is>
          <t>DTDC</t>
        </is>
      </c>
      <c r="I279" t="inlineStr">
        <is>
          <t>Bike</t>
        </is>
      </c>
      <c r="J279" t="inlineStr">
        <is>
          <t>Low</t>
        </is>
      </c>
      <c r="K279" t="inlineStr">
        <is>
          <t>Delivered</t>
        </is>
      </c>
      <c r="L279" t="n">
        <v>509.9</v>
      </c>
      <c r="M279" t="n">
        <v>2148</v>
      </c>
      <c r="N279" t="n">
        <v>50.77</v>
      </c>
      <c r="O279" t="n">
        <v>3499.21</v>
      </c>
      <c r="P279" t="n">
        <v>942.1</v>
      </c>
      <c r="Q279">
        <f>ROUND(L279*M279*N279/1000+O279+P279,2)</f>
        <v/>
      </c>
      <c r="R279" t="inlineStr">
        <is>
          <t>Yes</t>
        </is>
      </c>
      <c r="S279">
        <f>IF(OR(E279="",D279=""),"",MAX(0,E279-D279))</f>
        <v/>
      </c>
      <c r="T279" t="inlineStr">
        <is>
          <t>No</t>
        </is>
      </c>
      <c r="U279" t="n">
        <v>22</v>
      </c>
      <c r="V279" t="inlineStr">
        <is>
          <t>Paid</t>
        </is>
      </c>
      <c r="W279" t="n">
        <v>3</v>
      </c>
      <c r="X279" t="inlineStr">
        <is>
          <t>Address Error</t>
        </is>
      </c>
    </row>
    <row r="280">
      <c r="A280" t="inlineStr">
        <is>
          <t>ORD-2026-00279</t>
        </is>
      </c>
      <c r="B280" t="inlineStr">
        <is>
          <t>CUST-0093</t>
        </is>
      </c>
      <c r="C280" s="3" t="n">
        <v>46225</v>
      </c>
      <c r="D280" s="3" t="n">
        <v>46230</v>
      </c>
      <c r="E280" s="3" t="n">
        <v>46230</v>
      </c>
      <c r="F280" t="inlineStr">
        <is>
          <t>Mumbai</t>
        </is>
      </c>
      <c r="G280" t="inlineStr">
        <is>
          <t>Ahmedabad</t>
        </is>
      </c>
      <c r="H280" t="inlineStr">
        <is>
          <t>FedEx</t>
        </is>
      </c>
      <c r="I280" t="inlineStr">
        <is>
          <t>Container</t>
        </is>
      </c>
      <c r="J280" t="inlineStr">
        <is>
          <t>Normal</t>
        </is>
      </c>
      <c r="K280" t="inlineStr">
        <is>
          <t>Delivered</t>
        </is>
      </c>
      <c r="L280" t="n">
        <v>21.33</v>
      </c>
      <c r="M280" t="n">
        <v>1596</v>
      </c>
      <c r="N280" t="n">
        <v>45.64</v>
      </c>
      <c r="O280" t="n">
        <v>108.42</v>
      </c>
      <c r="P280" t="n">
        <v>1371.05</v>
      </c>
      <c r="Q280">
        <f>ROUND(L280*M280*N280/1000+O280+P280,2)</f>
        <v/>
      </c>
      <c r="R280" t="inlineStr">
        <is>
          <t>Yes</t>
        </is>
      </c>
      <c r="S280">
        <f>IF(OR(E280="",D280=""),"",MAX(0,E280-D280))</f>
        <v/>
      </c>
      <c r="T280" t="inlineStr">
        <is>
          <t>No</t>
        </is>
      </c>
      <c r="U280" t="n">
        <v>66</v>
      </c>
      <c r="V280" t="inlineStr">
        <is>
          <t>Paid</t>
        </is>
      </c>
      <c r="W280" t="n">
        <v>3</v>
      </c>
      <c r="X280" t="inlineStr">
        <is>
          <t>Weather</t>
        </is>
      </c>
    </row>
    <row r="281">
      <c r="A281" t="inlineStr">
        <is>
          <t>ORD-2026-00280</t>
        </is>
      </c>
      <c r="B281" t="inlineStr">
        <is>
          <t>CUST-0126</t>
        </is>
      </c>
      <c r="C281" s="3" t="n">
        <v>46175</v>
      </c>
      <c r="D281" s="3" t="n">
        <v>46177</v>
      </c>
      <c r="E281" s="3" t="n">
        <v>46177</v>
      </c>
      <c r="F281" t="inlineStr">
        <is>
          <t>Chennai</t>
        </is>
      </c>
      <c r="G281" t="inlineStr">
        <is>
          <t>Delhi</t>
        </is>
      </c>
      <c r="H281" t="inlineStr">
        <is>
          <t>BlueDart</t>
        </is>
      </c>
      <c r="I281" t="inlineStr">
        <is>
          <t>Refrigerated Truck</t>
        </is>
      </c>
      <c r="J281" t="inlineStr">
        <is>
          <t>High</t>
        </is>
      </c>
      <c r="K281" t="inlineStr">
        <is>
          <t>Delivered</t>
        </is>
      </c>
      <c r="L281" t="n">
        <v>1145.24</v>
      </c>
      <c r="M281" t="n">
        <v>93</v>
      </c>
      <c r="N281" t="n">
        <v>10.27</v>
      </c>
      <c r="O281" t="n">
        <v>93.34</v>
      </c>
      <c r="P281" t="n">
        <v>471.29</v>
      </c>
      <c r="Q281">
        <f>ROUND(L281*M281*N281/1000+O281+P281,2)</f>
        <v/>
      </c>
      <c r="R281" t="inlineStr">
        <is>
          <t>Yes</t>
        </is>
      </c>
      <c r="S281">
        <f>IF(OR(E281="",D281=""),"",MAX(0,E281-D281))</f>
        <v/>
      </c>
      <c r="T281" t="inlineStr">
        <is>
          <t>No</t>
        </is>
      </c>
      <c r="U281" t="n">
        <v>39</v>
      </c>
      <c r="V281" t="inlineStr">
        <is>
          <t>Pending</t>
        </is>
      </c>
      <c r="W281" t="n">
        <v>5</v>
      </c>
      <c r="X281" t="inlineStr">
        <is>
          <t>Vehicle Breakdown</t>
        </is>
      </c>
    </row>
    <row r="282">
      <c r="A282" t="inlineStr">
        <is>
          <t>ORD-2026-00281</t>
        </is>
      </c>
      <c r="B282" t="inlineStr">
        <is>
          <t>CUST-0088</t>
        </is>
      </c>
      <c r="C282" s="3" t="n">
        <v>46230</v>
      </c>
      <c r="D282" s="3" t="n">
        <v>46231</v>
      </c>
      <c r="E282" s="3" t="n">
        <v>46232</v>
      </c>
      <c r="F282" t="inlineStr">
        <is>
          <t>Chennai</t>
        </is>
      </c>
      <c r="G282" t="inlineStr">
        <is>
          <t>Delhi</t>
        </is>
      </c>
      <c r="H282" t="inlineStr">
        <is>
          <t>BlueDart</t>
        </is>
      </c>
      <c r="I282" t="inlineStr">
        <is>
          <t>Container</t>
        </is>
      </c>
      <c r="J282" t="inlineStr">
        <is>
          <t>Normal</t>
        </is>
      </c>
      <c r="K282" t="inlineStr">
        <is>
          <t>Delivered</t>
        </is>
      </c>
      <c r="L282" t="n">
        <v>2226.06</v>
      </c>
      <c r="M282" t="n">
        <v>125</v>
      </c>
      <c r="N282" t="n">
        <v>61.82</v>
      </c>
      <c r="O282" t="n">
        <v>1495.65</v>
      </c>
      <c r="P282" t="n">
        <v>353.86</v>
      </c>
      <c r="Q282">
        <f>ROUND(L282*M282*N282/1000+O282+P282,2)</f>
        <v/>
      </c>
      <c r="R282" t="inlineStr">
        <is>
          <t>No</t>
        </is>
      </c>
      <c r="S282">
        <f>IF(OR(E282="",D282=""),"",MAX(0,E282-D282))</f>
        <v/>
      </c>
      <c r="T282" t="inlineStr">
        <is>
          <t>No</t>
        </is>
      </c>
      <c r="U282" t="n">
        <v>31</v>
      </c>
      <c r="V282" t="inlineStr">
        <is>
          <t>Pending</t>
        </is>
      </c>
      <c r="W282" t="n">
        <v>4</v>
      </c>
      <c r="X282" t="inlineStr">
        <is>
          <t>Vehicle Breakdown</t>
        </is>
      </c>
    </row>
    <row r="283">
      <c r="A283" t="inlineStr">
        <is>
          <t>ORD-2026-00282</t>
        </is>
      </c>
      <c r="B283" t="inlineStr">
        <is>
          <t>CUST-0080</t>
        </is>
      </c>
      <c r="C283" s="3" t="n">
        <v>46177</v>
      </c>
      <c r="D283" s="3" t="n">
        <v>46183</v>
      </c>
      <c r="E283" s="3" t="n">
        <v>46183</v>
      </c>
      <c r="F283" t="inlineStr">
        <is>
          <t>Surat</t>
        </is>
      </c>
      <c r="G283" t="inlineStr">
        <is>
          <t>Delhi</t>
        </is>
      </c>
      <c r="H283" t="inlineStr">
        <is>
          <t>Delhivery</t>
        </is>
      </c>
      <c r="I283" t="inlineStr">
        <is>
          <t>Truck</t>
        </is>
      </c>
      <c r="J283" t="inlineStr">
        <is>
          <t>Normal</t>
        </is>
      </c>
      <c r="K283" t="inlineStr">
        <is>
          <t>Delivered</t>
        </is>
      </c>
      <c r="L283" t="n">
        <v>1631.36</v>
      </c>
      <c r="M283" t="n">
        <v>2384</v>
      </c>
      <c r="N283" t="n">
        <v>38.86</v>
      </c>
      <c r="O283" t="n">
        <v>11789.31</v>
      </c>
      <c r="P283" t="n">
        <v>1296.63</v>
      </c>
      <c r="Q283">
        <f>ROUND(L283*M283*N283/1000+O283+P283,2)</f>
        <v/>
      </c>
      <c r="R283" t="inlineStr">
        <is>
          <t>Yes</t>
        </is>
      </c>
      <c r="S283">
        <f>IF(OR(E283="",D283=""),"",MAX(0,E283-D283))</f>
        <v/>
      </c>
      <c r="T283" t="inlineStr">
        <is>
          <t>No</t>
        </is>
      </c>
      <c r="U283" t="n">
        <v>9</v>
      </c>
      <c r="V283" t="inlineStr">
        <is>
          <t>Paid</t>
        </is>
      </c>
      <c r="W283" t="n">
        <v>2</v>
      </c>
      <c r="X283" t="inlineStr">
        <is>
          <t>Vehicle Breakdown</t>
        </is>
      </c>
    </row>
    <row r="284">
      <c r="A284" t="inlineStr">
        <is>
          <t>ORD-2026-00283</t>
        </is>
      </c>
      <c r="B284" t="inlineStr">
        <is>
          <t>CUST-0211</t>
        </is>
      </c>
      <c r="C284" s="3" t="n">
        <v>46237</v>
      </c>
      <c r="D284" s="3" t="n">
        <v>46240</v>
      </c>
      <c r="E284" s="3" t="n">
        <v>46241</v>
      </c>
      <c r="F284" t="inlineStr">
        <is>
          <t>Pune</t>
        </is>
      </c>
      <c r="G284" t="inlineStr">
        <is>
          <t>Delhi</t>
        </is>
      </c>
      <c r="H284" t="inlineStr">
        <is>
          <t>Aramex</t>
        </is>
      </c>
      <c r="I284" t="inlineStr">
        <is>
          <t>Truck</t>
        </is>
      </c>
      <c r="J284" t="inlineStr">
        <is>
          <t>Low</t>
        </is>
      </c>
      <c r="K284" t="inlineStr">
        <is>
          <t>Delivered</t>
        </is>
      </c>
      <c r="L284" t="n">
        <v>2200.39</v>
      </c>
      <c r="M284" t="n">
        <v>1700</v>
      </c>
      <c r="N284" t="n">
        <v>62.79</v>
      </c>
      <c r="O284" t="n">
        <v>11321.24</v>
      </c>
      <c r="P284" t="n">
        <v>1123.5</v>
      </c>
      <c r="Q284">
        <f>ROUND(L284*M284*N284/1000+O284+P284,2)</f>
        <v/>
      </c>
      <c r="R284" t="inlineStr">
        <is>
          <t>No</t>
        </is>
      </c>
      <c r="S284">
        <f>IF(OR(E284="",D284=""),"",MAX(0,E284-D284))</f>
        <v/>
      </c>
      <c r="T284" t="inlineStr">
        <is>
          <t>Yes</t>
        </is>
      </c>
      <c r="U284" t="n">
        <v>24</v>
      </c>
      <c r="V284" t="inlineStr">
        <is>
          <t>Paid</t>
        </is>
      </c>
      <c r="W284" t="n">
        <v>5</v>
      </c>
      <c r="X284" t="inlineStr">
        <is>
          <t>Customs</t>
        </is>
      </c>
    </row>
    <row r="285">
      <c r="A285" t="inlineStr">
        <is>
          <t>ORD-2026-00284</t>
        </is>
      </c>
      <c r="B285" t="inlineStr">
        <is>
          <t>CUST-0155</t>
        </is>
      </c>
      <c r="C285" s="3" t="n">
        <v>46091</v>
      </c>
      <c r="D285" s="3" t="n">
        <v>46095</v>
      </c>
      <c r="E285" s="3" t="n">
        <v>46096</v>
      </c>
      <c r="F285" t="inlineStr">
        <is>
          <t>Jaipur</t>
        </is>
      </c>
      <c r="G285" t="inlineStr">
        <is>
          <t>Hyderabad</t>
        </is>
      </c>
      <c r="H285" t="inlineStr">
        <is>
          <t>DHL</t>
        </is>
      </c>
      <c r="I285" t="inlineStr">
        <is>
          <t>Container</t>
        </is>
      </c>
      <c r="J285" t="inlineStr">
        <is>
          <t>Critical</t>
        </is>
      </c>
      <c r="K285" t="inlineStr">
        <is>
          <t>Delivered</t>
        </is>
      </c>
      <c r="L285" t="n">
        <v>65.7</v>
      </c>
      <c r="M285" t="n">
        <v>330</v>
      </c>
      <c r="N285" t="n">
        <v>47.22</v>
      </c>
      <c r="O285" t="n">
        <v>59.99</v>
      </c>
      <c r="P285" t="n">
        <v>763.4400000000001</v>
      </c>
      <c r="Q285">
        <f>ROUND(L285*M285*N285/1000+O285+P285,2)</f>
        <v/>
      </c>
      <c r="R285" t="inlineStr">
        <is>
          <t>No</t>
        </is>
      </c>
      <c r="S285">
        <f>IF(OR(E285="",D285=""),"",MAX(0,E285-D285))</f>
        <v/>
      </c>
      <c r="T285" t="inlineStr">
        <is>
          <t>No</t>
        </is>
      </c>
      <c r="U285" t="n">
        <v>18</v>
      </c>
      <c r="V285" t="inlineStr">
        <is>
          <t>Pending</t>
        </is>
      </c>
      <c r="W285" t="n">
        <v>2</v>
      </c>
      <c r="X285" t="inlineStr">
        <is>
          <t>Address Error</t>
        </is>
      </c>
    </row>
    <row r="286">
      <c r="A286" t="inlineStr">
        <is>
          <t>ORD-2026-00285</t>
        </is>
      </c>
      <c r="B286" t="inlineStr">
        <is>
          <t>CUST-0238</t>
        </is>
      </c>
      <c r="C286" s="3" t="n">
        <v>46031</v>
      </c>
      <c r="D286" s="3" t="n">
        <v>46038</v>
      </c>
      <c r="E286" s="3" t="n">
        <v>46042</v>
      </c>
      <c r="F286" t="inlineStr">
        <is>
          <t>Jaipur</t>
        </is>
      </c>
      <c r="G286" t="inlineStr">
        <is>
          <t>Kolkata</t>
        </is>
      </c>
      <c r="H286" t="inlineStr">
        <is>
          <t>Delhivery</t>
        </is>
      </c>
      <c r="I286" t="inlineStr">
        <is>
          <t>Refrigerated Truck</t>
        </is>
      </c>
      <c r="J286" t="inlineStr">
        <is>
          <t>Critical</t>
        </is>
      </c>
      <c r="K286" t="inlineStr">
        <is>
          <t>Delayed</t>
        </is>
      </c>
      <c r="L286" t="n">
        <v>556.77</v>
      </c>
      <c r="M286" t="n">
        <v>2754</v>
      </c>
      <c r="N286" t="n">
        <v>64.33</v>
      </c>
      <c r="O286" t="n">
        <v>7444.03</v>
      </c>
      <c r="P286" t="n">
        <v>117.88</v>
      </c>
      <c r="Q286">
        <f>ROUND(L286*M286*N286/1000+O286+P286,2)</f>
        <v/>
      </c>
      <c r="R286" t="inlineStr">
        <is>
          <t>No</t>
        </is>
      </c>
      <c r="S286">
        <f>IF(OR(E286="",D286=""),"",MAX(0,E286-D286))</f>
        <v/>
      </c>
      <c r="T286" t="inlineStr">
        <is>
          <t>Yes</t>
        </is>
      </c>
      <c r="U286" t="n">
        <v>55</v>
      </c>
      <c r="V286" t="inlineStr">
        <is>
          <t>Failed</t>
        </is>
      </c>
      <c r="W286" t="n">
        <v>1</v>
      </c>
      <c r="X286" t="inlineStr">
        <is>
          <t>Customs</t>
        </is>
      </c>
    </row>
    <row r="287">
      <c r="A287" t="inlineStr">
        <is>
          <t>ORD-2026-00286</t>
        </is>
      </c>
      <c r="B287" t="inlineStr">
        <is>
          <t>CUST-0202</t>
        </is>
      </c>
      <c r="C287" s="3" t="n">
        <v>46211</v>
      </c>
      <c r="D287" s="3" t="n">
        <v>46218</v>
      </c>
      <c r="E287" s="3" t="n">
        <v>46219</v>
      </c>
      <c r="F287" t="inlineStr">
        <is>
          <t>Ahmedabad</t>
        </is>
      </c>
      <c r="G287" t="inlineStr">
        <is>
          <t>Surat</t>
        </is>
      </c>
      <c r="H287" t="inlineStr">
        <is>
          <t>BlueDart</t>
        </is>
      </c>
      <c r="I287" t="inlineStr">
        <is>
          <t>Container</t>
        </is>
      </c>
      <c r="J287" t="inlineStr">
        <is>
          <t>Critical</t>
        </is>
      </c>
      <c r="K287" t="inlineStr">
        <is>
          <t>Delivered</t>
        </is>
      </c>
      <c r="L287" t="n">
        <v>2347.88</v>
      </c>
      <c r="M287" t="n">
        <v>2347</v>
      </c>
      <c r="N287" t="n">
        <v>41.85</v>
      </c>
      <c r="O287" t="n">
        <v>14185.91</v>
      </c>
      <c r="P287" t="n">
        <v>1316.16</v>
      </c>
      <c r="Q287">
        <f>ROUND(L287*M287*N287/1000+O287+P287,2)</f>
        <v/>
      </c>
      <c r="R287" t="inlineStr">
        <is>
          <t>No</t>
        </is>
      </c>
      <c r="S287">
        <f>IF(OR(E287="",D287=""),"",MAX(0,E287-D287))</f>
        <v/>
      </c>
      <c r="T287" t="inlineStr">
        <is>
          <t>Yes</t>
        </is>
      </c>
      <c r="U287" t="n">
        <v>32</v>
      </c>
      <c r="V287" t="inlineStr">
        <is>
          <t>Failed</t>
        </is>
      </c>
      <c r="W287" t="n">
        <v>1</v>
      </c>
      <c r="X287" t="inlineStr">
        <is>
          <t>Customs</t>
        </is>
      </c>
    </row>
    <row r="288">
      <c r="A288" t="inlineStr">
        <is>
          <t>ORD-2026-00287</t>
        </is>
      </c>
      <c r="B288" t="inlineStr">
        <is>
          <t>CUST-0014</t>
        </is>
      </c>
      <c r="C288" s="3" t="n">
        <v>46122</v>
      </c>
      <c r="D288" s="3" t="n">
        <v>46123</v>
      </c>
      <c r="E288" s="3" t="n">
        <v>46123</v>
      </c>
      <c r="F288" t="inlineStr">
        <is>
          <t>Surat</t>
        </is>
      </c>
      <c r="G288" t="inlineStr">
        <is>
          <t>Delhi</t>
        </is>
      </c>
      <c r="H288" t="inlineStr">
        <is>
          <t>Delhivery</t>
        </is>
      </c>
      <c r="I288" t="inlineStr">
        <is>
          <t>Container</t>
        </is>
      </c>
      <c r="J288" t="inlineStr">
        <is>
          <t>Low</t>
        </is>
      </c>
      <c r="K288" t="inlineStr">
        <is>
          <t>Delivered</t>
        </is>
      </c>
      <c r="L288" t="n">
        <v>2211.05</v>
      </c>
      <c r="M288" t="n">
        <v>1176</v>
      </c>
      <c r="N288" t="n">
        <v>34.3</v>
      </c>
      <c r="O288" t="n">
        <v>4936.28</v>
      </c>
      <c r="P288" t="n">
        <v>927.4400000000001</v>
      </c>
      <c r="Q288">
        <f>ROUND(L288*M288*N288/1000+O288+P288,2)</f>
        <v/>
      </c>
      <c r="R288" t="inlineStr">
        <is>
          <t>Yes</t>
        </is>
      </c>
      <c r="S288">
        <f>IF(OR(E288="",D288=""),"",MAX(0,E288-D288))</f>
        <v/>
      </c>
      <c r="T288" t="inlineStr">
        <is>
          <t>Yes</t>
        </is>
      </c>
      <c r="U288" t="n">
        <v>24</v>
      </c>
      <c r="V288" t="inlineStr">
        <is>
          <t>Pending</t>
        </is>
      </c>
      <c r="W288" t="n">
        <v>4</v>
      </c>
      <c r="X288" t="inlineStr">
        <is>
          <t>Weather</t>
        </is>
      </c>
    </row>
    <row r="289">
      <c r="A289" t="inlineStr">
        <is>
          <t>ORD-2026-00288</t>
        </is>
      </c>
      <c r="B289" t="inlineStr">
        <is>
          <t>CUST-0167</t>
        </is>
      </c>
      <c r="C289" s="3" t="n">
        <v>46105</v>
      </c>
      <c r="D289" s="3" t="n">
        <v>46113</v>
      </c>
      <c r="E289" s="3" t="n">
        <v>46113</v>
      </c>
      <c r="F289" t="inlineStr">
        <is>
          <t>Delhi</t>
        </is>
      </c>
      <c r="G289" t="inlineStr">
        <is>
          <t>Mumbai</t>
        </is>
      </c>
      <c r="H289" t="inlineStr">
        <is>
          <t>BlueDart</t>
        </is>
      </c>
      <c r="I289" t="inlineStr">
        <is>
          <t>Van</t>
        </is>
      </c>
      <c r="J289" t="inlineStr">
        <is>
          <t>Critical</t>
        </is>
      </c>
      <c r="K289" t="inlineStr">
        <is>
          <t>Delivered</t>
        </is>
      </c>
      <c r="L289" t="n">
        <v>2241.6</v>
      </c>
      <c r="M289" t="n">
        <v>832</v>
      </c>
      <c r="N289" t="n">
        <v>58.31</v>
      </c>
      <c r="O289" t="n">
        <v>3850.88</v>
      </c>
      <c r="P289" t="n">
        <v>499.63</v>
      </c>
      <c r="Q289">
        <f>ROUND(L289*M289*N289/1000+O289+P289,2)</f>
        <v/>
      </c>
      <c r="R289" t="inlineStr">
        <is>
          <t>Yes</t>
        </is>
      </c>
      <c r="S289">
        <f>IF(OR(E289="",D289=""),"",MAX(0,E289-D289))</f>
        <v/>
      </c>
      <c r="T289" t="inlineStr">
        <is>
          <t>No</t>
        </is>
      </c>
      <c r="U289" t="n">
        <v>11</v>
      </c>
      <c r="V289" t="inlineStr">
        <is>
          <t>Failed</t>
        </is>
      </c>
      <c r="W289" t="n">
        <v>5</v>
      </c>
      <c r="X289" t="inlineStr">
        <is>
          <t>Customs</t>
        </is>
      </c>
    </row>
    <row r="290">
      <c r="A290" t="inlineStr">
        <is>
          <t>ORD-2026-00289</t>
        </is>
      </c>
      <c r="B290" t="inlineStr">
        <is>
          <t>CUST-0038</t>
        </is>
      </c>
      <c r="C290" s="3" t="n">
        <v>46063</v>
      </c>
      <c r="D290" s="3" t="n">
        <v>46070</v>
      </c>
      <c r="E290" s="3" t="n"/>
      <c r="F290" t="inlineStr">
        <is>
          <t>Delhi</t>
        </is>
      </c>
      <c r="G290" t="inlineStr">
        <is>
          <t>Ahmedabad</t>
        </is>
      </c>
      <c r="H290" t="inlineStr">
        <is>
          <t>Delhivery</t>
        </is>
      </c>
      <c r="I290" t="inlineStr">
        <is>
          <t>Refrigerated Truck</t>
        </is>
      </c>
      <c r="J290" t="inlineStr">
        <is>
          <t>High</t>
        </is>
      </c>
      <c r="K290" t="inlineStr">
        <is>
          <t>Booked</t>
        </is>
      </c>
      <c r="L290" t="n">
        <v>2280.68</v>
      </c>
      <c r="M290" t="n">
        <v>2321</v>
      </c>
      <c r="N290" t="n">
        <v>57.66</v>
      </c>
      <c r="O290" t="n">
        <v>24954.96</v>
      </c>
      <c r="P290" t="n">
        <v>259.94</v>
      </c>
      <c r="Q290">
        <f>ROUND(L290*M290*N290/1000+O290+P290,2)</f>
        <v/>
      </c>
      <c r="R290" t="inlineStr">
        <is>
          <t>No</t>
        </is>
      </c>
      <c r="S290">
        <f>IF(OR(E290="",D290=""),"",MAX(0,E290-D290))</f>
        <v/>
      </c>
      <c r="T290" t="inlineStr">
        <is>
          <t>No</t>
        </is>
      </c>
      <c r="U290" t="n">
        <v>37</v>
      </c>
      <c r="V290" t="inlineStr">
        <is>
          <t>Pending</t>
        </is>
      </c>
      <c r="W290" t="n">
        <v>1</v>
      </c>
      <c r="X290" t="inlineStr">
        <is>
          <t>Address Error</t>
        </is>
      </c>
    </row>
    <row r="291">
      <c r="A291" t="inlineStr">
        <is>
          <t>ORD-2026-00290</t>
        </is>
      </c>
      <c r="B291" t="inlineStr">
        <is>
          <t>CUST-0061</t>
        </is>
      </c>
      <c r="C291" s="3" t="n">
        <v>46074</v>
      </c>
      <c r="D291" s="3" t="n">
        <v>46075</v>
      </c>
      <c r="E291" s="3" t="n">
        <v>46076</v>
      </c>
      <c r="F291" t="inlineStr">
        <is>
          <t>Bengaluru</t>
        </is>
      </c>
      <c r="G291" t="inlineStr">
        <is>
          <t>Kolkata</t>
        </is>
      </c>
      <c r="H291" t="inlineStr">
        <is>
          <t>Maersk</t>
        </is>
      </c>
      <c r="I291" t="inlineStr">
        <is>
          <t>Container</t>
        </is>
      </c>
      <c r="J291" t="inlineStr">
        <is>
          <t>Critical</t>
        </is>
      </c>
      <c r="K291" t="inlineStr">
        <is>
          <t>Delivered</t>
        </is>
      </c>
      <c r="L291" t="n">
        <v>1146.88</v>
      </c>
      <c r="M291" t="n">
        <v>2047</v>
      </c>
      <c r="N291" t="n">
        <v>38.98</v>
      </c>
      <c r="O291" t="n">
        <v>2776.93</v>
      </c>
      <c r="P291" t="n">
        <v>1326.4</v>
      </c>
      <c r="Q291">
        <f>ROUND(L291*M291*N291/1000+O291+P291,2)</f>
        <v/>
      </c>
      <c r="R291" t="inlineStr">
        <is>
          <t>No</t>
        </is>
      </c>
      <c r="S291">
        <f>IF(OR(E291="",D291=""),"",MAX(0,E291-D291))</f>
        <v/>
      </c>
      <c r="T291" t="inlineStr">
        <is>
          <t>No</t>
        </is>
      </c>
      <c r="U291" t="n">
        <v>57</v>
      </c>
      <c r="V291" t="inlineStr">
        <is>
          <t>Paid</t>
        </is>
      </c>
      <c r="W291" t="n">
        <v>5</v>
      </c>
      <c r="X291" t="inlineStr">
        <is>
          <t>Customs</t>
        </is>
      </c>
    </row>
    <row r="292">
      <c r="A292" t="inlineStr">
        <is>
          <t>ORD-2026-00291</t>
        </is>
      </c>
      <c r="B292" t="inlineStr">
        <is>
          <t>CUST-0010</t>
        </is>
      </c>
      <c r="C292" s="3" t="n">
        <v>46024</v>
      </c>
      <c r="D292" s="3" t="n">
        <v>46028</v>
      </c>
      <c r="E292" s="3" t="n">
        <v>46031</v>
      </c>
      <c r="F292" t="inlineStr">
        <is>
          <t>Delhi</t>
        </is>
      </c>
      <c r="G292" t="inlineStr">
        <is>
          <t>Ahmedabad</t>
        </is>
      </c>
      <c r="H292" t="inlineStr">
        <is>
          <t>Maersk</t>
        </is>
      </c>
      <c r="I292" t="inlineStr">
        <is>
          <t>Bike</t>
        </is>
      </c>
      <c r="J292" t="inlineStr">
        <is>
          <t>High</t>
        </is>
      </c>
      <c r="K292" t="inlineStr">
        <is>
          <t>Delivered</t>
        </is>
      </c>
      <c r="L292" t="n">
        <v>1571.77</v>
      </c>
      <c r="M292" t="n">
        <v>855</v>
      </c>
      <c r="N292" t="n">
        <v>10.79</v>
      </c>
      <c r="O292" t="n">
        <v>563.99</v>
      </c>
      <c r="P292" t="n">
        <v>986.85</v>
      </c>
      <c r="Q292">
        <f>ROUND(L292*M292*N292/1000+O292+P292,2)</f>
        <v/>
      </c>
      <c r="R292" t="inlineStr">
        <is>
          <t>No</t>
        </is>
      </c>
      <c r="S292">
        <f>IF(OR(E292="",D292=""),"",MAX(0,E292-D292))</f>
        <v/>
      </c>
      <c r="T292" t="inlineStr">
        <is>
          <t>No</t>
        </is>
      </c>
      <c r="U292" t="n">
        <v>12</v>
      </c>
      <c r="V292" t="inlineStr">
        <is>
          <t>Paid</t>
        </is>
      </c>
      <c r="W292" t="n">
        <v>1</v>
      </c>
      <c r="X292" t="inlineStr">
        <is>
          <t>Weather</t>
        </is>
      </c>
    </row>
    <row r="293">
      <c r="A293" t="inlineStr">
        <is>
          <t>ORD-2026-00292</t>
        </is>
      </c>
      <c r="B293" t="inlineStr">
        <is>
          <t>CUST-0192</t>
        </is>
      </c>
      <c r="C293" s="3" t="n">
        <v>46068</v>
      </c>
      <c r="D293" s="3" t="n">
        <v>46071</v>
      </c>
      <c r="E293" s="3" t="n">
        <v>46072</v>
      </c>
      <c r="F293" t="inlineStr">
        <is>
          <t>Kolkata</t>
        </is>
      </c>
      <c r="G293" t="inlineStr">
        <is>
          <t>Hyderabad</t>
        </is>
      </c>
      <c r="H293" t="inlineStr">
        <is>
          <t>BlueDart</t>
        </is>
      </c>
      <c r="I293" t="inlineStr">
        <is>
          <t>Van</t>
        </is>
      </c>
      <c r="J293" t="inlineStr">
        <is>
          <t>High</t>
        </is>
      </c>
      <c r="K293" t="inlineStr">
        <is>
          <t>Delivered</t>
        </is>
      </c>
      <c r="L293" t="n">
        <v>1728.94</v>
      </c>
      <c r="M293" t="n">
        <v>2441</v>
      </c>
      <c r="N293" t="n">
        <v>40.62</v>
      </c>
      <c r="O293" t="n">
        <v>10925.36</v>
      </c>
      <c r="P293" t="n">
        <v>1450.11</v>
      </c>
      <c r="Q293">
        <f>ROUND(L293*M293*N293/1000+O293+P293,2)</f>
        <v/>
      </c>
      <c r="R293" t="inlineStr">
        <is>
          <t>No</t>
        </is>
      </c>
      <c r="S293">
        <f>IF(OR(E293="",D293=""),"",MAX(0,E293-D293))</f>
        <v/>
      </c>
      <c r="T293" t="inlineStr">
        <is>
          <t>No</t>
        </is>
      </c>
      <c r="U293" t="n">
        <v>48</v>
      </c>
      <c r="V293" t="inlineStr">
        <is>
          <t>Failed</t>
        </is>
      </c>
      <c r="W293" t="n">
        <v>1</v>
      </c>
      <c r="X293" t="inlineStr">
        <is>
          <t>Customer Unavailable</t>
        </is>
      </c>
    </row>
    <row r="294">
      <c r="A294" t="inlineStr">
        <is>
          <t>ORD-2026-00293</t>
        </is>
      </c>
      <c r="B294" t="inlineStr">
        <is>
          <t>CUST-0054</t>
        </is>
      </c>
      <c r="C294" s="3" t="n">
        <v>46132</v>
      </c>
      <c r="D294" s="3" t="n">
        <v>46134</v>
      </c>
      <c r="E294" s="3" t="n">
        <v>46134</v>
      </c>
      <c r="F294" t="inlineStr">
        <is>
          <t>Kolkata</t>
        </is>
      </c>
      <c r="G294" t="inlineStr">
        <is>
          <t>Ahmedabad</t>
        </is>
      </c>
      <c r="H294" t="inlineStr">
        <is>
          <t>BlueDart</t>
        </is>
      </c>
      <c r="I294" t="inlineStr">
        <is>
          <t>Bike</t>
        </is>
      </c>
      <c r="J294" t="inlineStr">
        <is>
          <t>Low</t>
        </is>
      </c>
      <c r="K294" t="inlineStr">
        <is>
          <t>Delivered</t>
        </is>
      </c>
      <c r="L294" t="n">
        <v>1736.7</v>
      </c>
      <c r="M294" t="n">
        <v>1129</v>
      </c>
      <c r="N294" t="n">
        <v>26.76</v>
      </c>
      <c r="O294" t="n">
        <v>2876.65</v>
      </c>
      <c r="P294" t="n">
        <v>330.57</v>
      </c>
      <c r="Q294">
        <f>ROUND(L294*M294*N294/1000+O294+P294,2)</f>
        <v/>
      </c>
      <c r="R294" t="inlineStr">
        <is>
          <t>Yes</t>
        </is>
      </c>
      <c r="S294">
        <f>IF(OR(E294="",D294=""),"",MAX(0,E294-D294))</f>
        <v/>
      </c>
      <c r="T294" t="inlineStr">
        <is>
          <t>No</t>
        </is>
      </c>
      <c r="U294" t="n">
        <v>78</v>
      </c>
      <c r="V294" t="inlineStr">
        <is>
          <t>COD</t>
        </is>
      </c>
      <c r="W294" t="n">
        <v>4</v>
      </c>
      <c r="X294" t="inlineStr">
        <is>
          <t>Customs</t>
        </is>
      </c>
    </row>
    <row r="295">
      <c r="A295" t="inlineStr">
        <is>
          <t>ORD-2026-00294</t>
        </is>
      </c>
      <c r="B295" t="inlineStr">
        <is>
          <t>CUST-0128</t>
        </is>
      </c>
      <c r="C295" s="3" t="n">
        <v>46240</v>
      </c>
      <c r="D295" s="3" t="n">
        <v>46246</v>
      </c>
      <c r="E295" s="3" t="n">
        <v>46246</v>
      </c>
      <c r="F295" t="inlineStr">
        <is>
          <t>Jaipur</t>
        </is>
      </c>
      <c r="G295" t="inlineStr">
        <is>
          <t>Delhi</t>
        </is>
      </c>
      <c r="H295" t="inlineStr">
        <is>
          <t>DTDC</t>
        </is>
      </c>
      <c r="I295" t="inlineStr">
        <is>
          <t>Truck</t>
        </is>
      </c>
      <c r="J295" t="inlineStr">
        <is>
          <t>High</t>
        </is>
      </c>
      <c r="K295" t="inlineStr">
        <is>
          <t>Delivered</t>
        </is>
      </c>
      <c r="L295" t="n">
        <v>1558.3</v>
      </c>
      <c r="M295" t="n">
        <v>536</v>
      </c>
      <c r="N295" t="n">
        <v>43.01</v>
      </c>
      <c r="O295" t="n">
        <v>2147.68</v>
      </c>
      <c r="P295" t="n">
        <v>1099.19</v>
      </c>
      <c r="Q295">
        <f>ROUND(L295*M295*N295/1000+O295+P295,2)</f>
        <v/>
      </c>
      <c r="R295" t="inlineStr">
        <is>
          <t>Yes</t>
        </is>
      </c>
      <c r="S295">
        <f>IF(OR(E295="",D295=""),"",MAX(0,E295-D295))</f>
        <v/>
      </c>
      <c r="T295" t="inlineStr">
        <is>
          <t>Yes</t>
        </is>
      </c>
      <c r="U295" t="n">
        <v>1</v>
      </c>
      <c r="V295" t="inlineStr">
        <is>
          <t>Paid</t>
        </is>
      </c>
      <c r="W295" t="n">
        <v>1</v>
      </c>
      <c r="X295" t="inlineStr">
        <is>
          <t>Weather</t>
        </is>
      </c>
    </row>
    <row r="296">
      <c r="A296" t="inlineStr">
        <is>
          <t>ORD-2026-00295</t>
        </is>
      </c>
      <c r="B296" t="inlineStr">
        <is>
          <t>CUST-0164</t>
        </is>
      </c>
      <c r="C296" s="3" t="n">
        <v>46183</v>
      </c>
      <c r="D296" s="3" t="n">
        <v>46185</v>
      </c>
      <c r="E296" s="3" t="n">
        <v>46187</v>
      </c>
      <c r="F296" t="inlineStr">
        <is>
          <t>Bengaluru</t>
        </is>
      </c>
      <c r="G296" t="inlineStr">
        <is>
          <t>Ahmedabad</t>
        </is>
      </c>
      <c r="H296" t="inlineStr">
        <is>
          <t>Maersk</t>
        </is>
      </c>
      <c r="I296" t="inlineStr">
        <is>
          <t>Truck</t>
        </is>
      </c>
      <c r="J296" t="inlineStr">
        <is>
          <t>High</t>
        </is>
      </c>
      <c r="K296" t="inlineStr">
        <is>
          <t>Delivered</t>
        </is>
      </c>
      <c r="L296" t="n">
        <v>1538.46</v>
      </c>
      <c r="M296" t="n">
        <v>1703</v>
      </c>
      <c r="N296" t="n">
        <v>31.6</v>
      </c>
      <c r="O296" t="n">
        <v>4141.88</v>
      </c>
      <c r="P296" t="n">
        <v>849.41</v>
      </c>
      <c r="Q296">
        <f>ROUND(L296*M296*N296/1000+O296+P296,2)</f>
        <v/>
      </c>
      <c r="R296" t="inlineStr">
        <is>
          <t>No</t>
        </is>
      </c>
      <c r="S296">
        <f>IF(OR(E296="",D296=""),"",MAX(0,E296-D296))</f>
        <v/>
      </c>
      <c r="T296" t="inlineStr">
        <is>
          <t>No</t>
        </is>
      </c>
      <c r="U296" t="n">
        <v>9</v>
      </c>
      <c r="V296" t="inlineStr">
        <is>
          <t>COD</t>
        </is>
      </c>
      <c r="W296" t="n">
        <v>3</v>
      </c>
      <c r="X296" t="inlineStr">
        <is>
          <t>Customs</t>
        </is>
      </c>
    </row>
    <row r="297">
      <c r="A297" t="inlineStr">
        <is>
          <t>ORD-2026-00296</t>
        </is>
      </c>
      <c r="B297" t="inlineStr">
        <is>
          <t>CUST-0045</t>
        </is>
      </c>
      <c r="C297" s="3" t="n">
        <v>46163</v>
      </c>
      <c r="D297" s="3" t="n">
        <v>46169</v>
      </c>
      <c r="E297" s="3" t="n">
        <v>46171</v>
      </c>
      <c r="F297" t="inlineStr">
        <is>
          <t>Bengaluru</t>
        </is>
      </c>
      <c r="G297" t="inlineStr">
        <is>
          <t>Hyderabad</t>
        </is>
      </c>
      <c r="H297" t="inlineStr">
        <is>
          <t>Aramex</t>
        </is>
      </c>
      <c r="I297" t="inlineStr">
        <is>
          <t>Refrigerated Truck</t>
        </is>
      </c>
      <c r="J297" t="inlineStr">
        <is>
          <t>Critical</t>
        </is>
      </c>
      <c r="K297" t="inlineStr">
        <is>
          <t>Delivered</t>
        </is>
      </c>
      <c r="L297" t="n">
        <v>833.54</v>
      </c>
      <c r="M297" t="n">
        <v>1627</v>
      </c>
      <c r="N297" t="n">
        <v>49.29</v>
      </c>
      <c r="O297" t="n">
        <v>4475.95</v>
      </c>
      <c r="P297" t="n">
        <v>63.09</v>
      </c>
      <c r="Q297">
        <f>ROUND(L297*M297*N297/1000+O297+P297,2)</f>
        <v/>
      </c>
      <c r="R297" t="inlineStr">
        <is>
          <t>No</t>
        </is>
      </c>
      <c r="S297">
        <f>IF(OR(E297="",D297=""),"",MAX(0,E297-D297))</f>
        <v/>
      </c>
      <c r="T297" t="inlineStr">
        <is>
          <t>No</t>
        </is>
      </c>
      <c r="U297" t="n">
        <v>5</v>
      </c>
      <c r="V297" t="inlineStr">
        <is>
          <t>Pending</t>
        </is>
      </c>
      <c r="W297" t="n">
        <v>4</v>
      </c>
      <c r="X297" t="inlineStr">
        <is>
          <t>Address Error</t>
        </is>
      </c>
    </row>
    <row r="298">
      <c r="A298" t="inlineStr">
        <is>
          <t>ORD-2026-00297</t>
        </is>
      </c>
      <c r="B298" t="inlineStr">
        <is>
          <t>CUST-0145</t>
        </is>
      </c>
      <c r="C298" s="3" t="n">
        <v>46183</v>
      </c>
      <c r="D298" s="3" t="n">
        <v>46191</v>
      </c>
      <c r="E298" s="3" t="n">
        <v>46194</v>
      </c>
      <c r="F298" t="inlineStr">
        <is>
          <t>Hyderabad</t>
        </is>
      </c>
      <c r="G298" t="inlineStr">
        <is>
          <t>Surat</t>
        </is>
      </c>
      <c r="H298" t="inlineStr">
        <is>
          <t>DTDC</t>
        </is>
      </c>
      <c r="I298" t="inlineStr">
        <is>
          <t>Van</t>
        </is>
      </c>
      <c r="J298" t="inlineStr">
        <is>
          <t>Normal</t>
        </is>
      </c>
      <c r="K298" t="inlineStr">
        <is>
          <t>Delivered</t>
        </is>
      </c>
      <c r="L298" t="n">
        <v>838.11</v>
      </c>
      <c r="M298" t="n">
        <v>1700</v>
      </c>
      <c r="N298" t="n">
        <v>60.88</v>
      </c>
      <c r="O298" t="n">
        <v>2893.8</v>
      </c>
      <c r="P298" t="n">
        <v>791.1900000000001</v>
      </c>
      <c r="Q298">
        <f>ROUND(L298*M298*N298/1000+O298+P298,2)</f>
        <v/>
      </c>
      <c r="R298" t="inlineStr">
        <is>
          <t>No</t>
        </is>
      </c>
      <c r="S298">
        <f>IF(OR(E298="",D298=""),"",MAX(0,E298-D298))</f>
        <v/>
      </c>
      <c r="T298" t="inlineStr">
        <is>
          <t>No</t>
        </is>
      </c>
      <c r="U298" t="n">
        <v>46</v>
      </c>
      <c r="V298" t="inlineStr">
        <is>
          <t>Paid</t>
        </is>
      </c>
      <c r="W298" t="n">
        <v>2</v>
      </c>
      <c r="X298" t="inlineStr">
        <is>
          <t>Vehicle Breakdown</t>
        </is>
      </c>
    </row>
    <row r="299">
      <c r="A299" t="inlineStr">
        <is>
          <t>ORD-2026-00298</t>
        </is>
      </c>
      <c r="B299" t="inlineStr">
        <is>
          <t>CUST-0222</t>
        </is>
      </c>
      <c r="C299" s="3" t="n">
        <v>46238</v>
      </c>
      <c r="D299" s="3" t="n">
        <v>46239</v>
      </c>
      <c r="E299" s="3" t="n">
        <v>46239</v>
      </c>
      <c r="F299" t="inlineStr">
        <is>
          <t>Pune</t>
        </is>
      </c>
      <c r="G299" t="inlineStr">
        <is>
          <t>Hyderabad</t>
        </is>
      </c>
      <c r="H299" t="inlineStr">
        <is>
          <t>Maersk</t>
        </is>
      </c>
      <c r="I299" t="inlineStr">
        <is>
          <t>Van</t>
        </is>
      </c>
      <c r="J299" t="inlineStr">
        <is>
          <t>High</t>
        </is>
      </c>
      <c r="K299" t="inlineStr">
        <is>
          <t>Delivered</t>
        </is>
      </c>
      <c r="L299" t="n">
        <v>1335.92</v>
      </c>
      <c r="M299" t="n">
        <v>684</v>
      </c>
      <c r="N299" t="n">
        <v>40.55</v>
      </c>
      <c r="O299" t="n">
        <v>1977.68</v>
      </c>
      <c r="P299" t="n">
        <v>900.88</v>
      </c>
      <c r="Q299">
        <f>ROUND(L299*M299*N299/1000+O299+P299,2)</f>
        <v/>
      </c>
      <c r="R299" t="inlineStr">
        <is>
          <t>Yes</t>
        </is>
      </c>
      <c r="S299">
        <f>IF(OR(E299="",D299=""),"",MAX(0,E299-D299))</f>
        <v/>
      </c>
      <c r="T299" t="inlineStr">
        <is>
          <t>No</t>
        </is>
      </c>
      <c r="U299" t="n">
        <v>12</v>
      </c>
      <c r="V299" t="inlineStr">
        <is>
          <t>Failed</t>
        </is>
      </c>
      <c r="W299" t="n">
        <v>2</v>
      </c>
      <c r="X299" t="inlineStr">
        <is>
          <t>Vehicle Breakdown</t>
        </is>
      </c>
    </row>
    <row r="300">
      <c r="A300" t="inlineStr">
        <is>
          <t>ORD-2026-00299</t>
        </is>
      </c>
      <c r="B300" t="inlineStr">
        <is>
          <t>CUST-0007</t>
        </is>
      </c>
      <c r="C300" s="3" t="n">
        <v>46138</v>
      </c>
      <c r="D300" s="3" t="n">
        <v>46143</v>
      </c>
      <c r="E300" s="3" t="n">
        <v>46143</v>
      </c>
      <c r="F300" t="inlineStr">
        <is>
          <t>Jaipur</t>
        </is>
      </c>
      <c r="G300" t="inlineStr">
        <is>
          <t>Surat</t>
        </is>
      </c>
      <c r="H300" t="inlineStr">
        <is>
          <t>DHL</t>
        </is>
      </c>
      <c r="I300" t="inlineStr">
        <is>
          <t>Truck</t>
        </is>
      </c>
      <c r="J300" t="inlineStr">
        <is>
          <t>High</t>
        </is>
      </c>
      <c r="K300" t="inlineStr">
        <is>
          <t>Delivered</t>
        </is>
      </c>
      <c r="L300" t="n">
        <v>281.02</v>
      </c>
      <c r="M300" t="n">
        <v>158</v>
      </c>
      <c r="N300" t="n">
        <v>52.33</v>
      </c>
      <c r="O300" t="n">
        <v>197.04</v>
      </c>
      <c r="P300" t="n">
        <v>676.79</v>
      </c>
      <c r="Q300">
        <f>ROUND(L300*M300*N300/1000+O300+P300,2)</f>
        <v/>
      </c>
      <c r="R300" t="inlineStr">
        <is>
          <t>Yes</t>
        </is>
      </c>
      <c r="S300">
        <f>IF(OR(E300="",D300=""),"",MAX(0,E300-D300))</f>
        <v/>
      </c>
      <c r="T300" t="inlineStr">
        <is>
          <t>No</t>
        </is>
      </c>
      <c r="U300" t="n">
        <v>68</v>
      </c>
      <c r="V300" t="inlineStr">
        <is>
          <t>COD</t>
        </is>
      </c>
      <c r="W300" t="n">
        <v>3</v>
      </c>
      <c r="X300" t="inlineStr">
        <is>
          <t>Address Error</t>
        </is>
      </c>
    </row>
    <row r="301">
      <c r="A301" t="inlineStr">
        <is>
          <t>ORD-2026-00300</t>
        </is>
      </c>
      <c r="B301" t="inlineStr">
        <is>
          <t>CUST-0222</t>
        </is>
      </c>
      <c r="C301" s="3" t="n">
        <v>46219</v>
      </c>
      <c r="D301" s="3" t="n">
        <v>46221</v>
      </c>
      <c r="E301" s="3" t="n">
        <v>46223</v>
      </c>
      <c r="F301" t="inlineStr">
        <is>
          <t>Surat</t>
        </is>
      </c>
      <c r="G301" t="inlineStr">
        <is>
          <t>Mumbai</t>
        </is>
      </c>
      <c r="H301" t="inlineStr">
        <is>
          <t>BlueDart</t>
        </is>
      </c>
      <c r="I301" t="inlineStr">
        <is>
          <t>Refrigerated Truck</t>
        </is>
      </c>
      <c r="J301" t="inlineStr">
        <is>
          <t>Low</t>
        </is>
      </c>
      <c r="K301" t="inlineStr">
        <is>
          <t>Delivered</t>
        </is>
      </c>
      <c r="L301" t="n">
        <v>1691.95</v>
      </c>
      <c r="M301" t="n">
        <v>548</v>
      </c>
      <c r="N301" t="n">
        <v>19.7</v>
      </c>
      <c r="O301" t="n">
        <v>588.03</v>
      </c>
      <c r="P301" t="n">
        <v>593.63</v>
      </c>
      <c r="Q301">
        <f>ROUND(L301*M301*N301/1000+O301+P301,2)</f>
        <v/>
      </c>
      <c r="R301" t="inlineStr">
        <is>
          <t>No</t>
        </is>
      </c>
      <c r="S301">
        <f>IF(OR(E301="",D301=""),"",MAX(0,E301-D301))</f>
        <v/>
      </c>
      <c r="T301" t="inlineStr">
        <is>
          <t>Yes</t>
        </is>
      </c>
      <c r="U301" t="n">
        <v>43</v>
      </c>
      <c r="V301" t="inlineStr">
        <is>
          <t>Failed</t>
        </is>
      </c>
      <c r="W301" t="n">
        <v>1</v>
      </c>
      <c r="X301" t="inlineStr">
        <is>
          <t>None</t>
        </is>
      </c>
    </row>
    <row r="302">
      <c r="A302" t="inlineStr">
        <is>
          <t>ORD-2026-00301</t>
        </is>
      </c>
      <c r="B302" t="inlineStr">
        <is>
          <t>CUST-0082</t>
        </is>
      </c>
      <c r="C302" s="3" t="n">
        <v>46156</v>
      </c>
      <c r="D302" s="3" t="n">
        <v>46161</v>
      </c>
      <c r="E302" s="3" t="n">
        <v>46161</v>
      </c>
      <c r="F302" t="inlineStr">
        <is>
          <t>Jaipur</t>
        </is>
      </c>
      <c r="G302" t="inlineStr">
        <is>
          <t>Mumbai</t>
        </is>
      </c>
      <c r="H302" t="inlineStr">
        <is>
          <t>FedEx</t>
        </is>
      </c>
      <c r="I302" t="inlineStr">
        <is>
          <t>Truck</t>
        </is>
      </c>
      <c r="J302" t="inlineStr">
        <is>
          <t>Normal</t>
        </is>
      </c>
      <c r="K302" t="inlineStr">
        <is>
          <t>Delivered</t>
        </is>
      </c>
      <c r="L302" t="n">
        <v>1597.31</v>
      </c>
      <c r="M302" t="n">
        <v>864</v>
      </c>
      <c r="N302" t="n">
        <v>26.29</v>
      </c>
      <c r="O302" t="n">
        <v>1507.62</v>
      </c>
      <c r="P302" t="n">
        <v>429.44</v>
      </c>
      <c r="Q302">
        <f>ROUND(L302*M302*N302/1000+O302+P302,2)</f>
        <v/>
      </c>
      <c r="R302" t="inlineStr">
        <is>
          <t>Yes</t>
        </is>
      </c>
      <c r="S302">
        <f>IF(OR(E302="",D302=""),"",MAX(0,E302-D302))</f>
        <v/>
      </c>
      <c r="T302" t="inlineStr">
        <is>
          <t>No</t>
        </is>
      </c>
      <c r="U302" t="n">
        <v>15</v>
      </c>
      <c r="V302" t="inlineStr">
        <is>
          <t>Paid</t>
        </is>
      </c>
      <c r="W302" t="n">
        <v>5</v>
      </c>
      <c r="X302" t="inlineStr">
        <is>
          <t>Customs</t>
        </is>
      </c>
    </row>
    <row r="303">
      <c r="A303" t="inlineStr">
        <is>
          <t>ORD-2026-00302</t>
        </is>
      </c>
      <c r="B303" t="inlineStr">
        <is>
          <t>CUST-0044</t>
        </is>
      </c>
      <c r="C303" s="3" t="n">
        <v>46154</v>
      </c>
      <c r="D303" s="3" t="n">
        <v>46156</v>
      </c>
      <c r="E303" s="3" t="n">
        <v>46156</v>
      </c>
      <c r="F303" t="inlineStr">
        <is>
          <t>Mumbai</t>
        </is>
      </c>
      <c r="G303" t="inlineStr">
        <is>
          <t>Pune</t>
        </is>
      </c>
      <c r="H303" t="inlineStr">
        <is>
          <t>DTDC</t>
        </is>
      </c>
      <c r="I303" t="inlineStr">
        <is>
          <t>Refrigerated Truck</t>
        </is>
      </c>
      <c r="J303" t="inlineStr">
        <is>
          <t>Critical</t>
        </is>
      </c>
      <c r="K303" t="inlineStr">
        <is>
          <t>Delivered</t>
        </is>
      </c>
      <c r="L303" t="n">
        <v>796.55</v>
      </c>
      <c r="M303" t="n">
        <v>584</v>
      </c>
      <c r="N303" t="n">
        <v>61.77</v>
      </c>
      <c r="O303" t="n">
        <v>2248.19</v>
      </c>
      <c r="P303" t="n">
        <v>869.64</v>
      </c>
      <c r="Q303">
        <f>ROUND(L303*M303*N303/1000+O303+P303,2)</f>
        <v/>
      </c>
      <c r="R303" t="inlineStr">
        <is>
          <t>Yes</t>
        </is>
      </c>
      <c r="S303">
        <f>IF(OR(E303="",D303=""),"",MAX(0,E303-D303))</f>
        <v/>
      </c>
      <c r="T303" t="inlineStr">
        <is>
          <t>Yes</t>
        </is>
      </c>
      <c r="U303" t="n">
        <v>17</v>
      </c>
      <c r="V303" t="inlineStr">
        <is>
          <t>Paid</t>
        </is>
      </c>
      <c r="W303" t="n">
        <v>4</v>
      </c>
      <c r="X303" t="inlineStr">
        <is>
          <t>Damaged Package</t>
        </is>
      </c>
    </row>
    <row r="304">
      <c r="A304" t="inlineStr">
        <is>
          <t>ORD-2026-00303</t>
        </is>
      </c>
      <c r="B304" t="inlineStr">
        <is>
          <t>CUST-0115</t>
        </is>
      </c>
      <c r="C304" s="3" t="n">
        <v>46035</v>
      </c>
      <c r="D304" s="3" t="n">
        <v>46037</v>
      </c>
      <c r="E304" s="3" t="n">
        <v>46037</v>
      </c>
      <c r="F304" t="inlineStr">
        <is>
          <t>Kolkata</t>
        </is>
      </c>
      <c r="G304" t="inlineStr">
        <is>
          <t>Hyderabad</t>
        </is>
      </c>
      <c r="H304" t="inlineStr">
        <is>
          <t>FedEx</t>
        </is>
      </c>
      <c r="I304" t="inlineStr">
        <is>
          <t>Refrigerated Truck</t>
        </is>
      </c>
      <c r="J304" t="inlineStr">
        <is>
          <t>Normal</t>
        </is>
      </c>
      <c r="K304" t="inlineStr">
        <is>
          <t>Delivered</t>
        </is>
      </c>
      <c r="L304" t="n">
        <v>980.1</v>
      </c>
      <c r="M304" t="n">
        <v>2446</v>
      </c>
      <c r="N304" t="n">
        <v>58.8</v>
      </c>
      <c r="O304" t="n">
        <v>9552.790000000001</v>
      </c>
      <c r="P304" t="n">
        <v>1041.38</v>
      </c>
      <c r="Q304">
        <f>ROUND(L304*M304*N304/1000+O304+P304,2)</f>
        <v/>
      </c>
      <c r="R304" t="inlineStr">
        <is>
          <t>Yes</t>
        </is>
      </c>
      <c r="S304">
        <f>IF(OR(E304="",D304=""),"",MAX(0,E304-D304))</f>
        <v/>
      </c>
      <c r="T304" t="inlineStr">
        <is>
          <t>Yes</t>
        </is>
      </c>
      <c r="U304" t="n">
        <v>60</v>
      </c>
      <c r="V304" t="inlineStr">
        <is>
          <t>Pending</t>
        </is>
      </c>
      <c r="W304" t="n">
        <v>1</v>
      </c>
      <c r="X304" t="inlineStr">
        <is>
          <t>Customer Unavailable</t>
        </is>
      </c>
    </row>
    <row r="305">
      <c r="A305" t="inlineStr">
        <is>
          <t>ORD-2026-00304</t>
        </is>
      </c>
      <c r="B305" t="inlineStr">
        <is>
          <t>CUST-0230</t>
        </is>
      </c>
      <c r="C305" s="3" t="n">
        <v>46228</v>
      </c>
      <c r="D305" s="3" t="n">
        <v>46236</v>
      </c>
      <c r="E305" s="3" t="n">
        <v>46236</v>
      </c>
      <c r="F305" t="inlineStr">
        <is>
          <t>Kolkata</t>
        </is>
      </c>
      <c r="G305" t="inlineStr">
        <is>
          <t>Pune</t>
        </is>
      </c>
      <c r="H305" t="inlineStr">
        <is>
          <t>FedEx</t>
        </is>
      </c>
      <c r="I305" t="inlineStr">
        <is>
          <t>Container</t>
        </is>
      </c>
      <c r="J305" t="inlineStr">
        <is>
          <t>Normal</t>
        </is>
      </c>
      <c r="K305" t="inlineStr">
        <is>
          <t>Delivered</t>
        </is>
      </c>
      <c r="L305" t="n">
        <v>1611.22</v>
      </c>
      <c r="M305" t="n">
        <v>1911</v>
      </c>
      <c r="N305" t="n">
        <v>34.82</v>
      </c>
      <c r="O305" t="n">
        <v>9311.049999999999</v>
      </c>
      <c r="P305" t="n">
        <v>232.71</v>
      </c>
      <c r="Q305">
        <f>ROUND(L305*M305*N305/1000+O305+P305,2)</f>
        <v/>
      </c>
      <c r="R305" t="inlineStr">
        <is>
          <t>Yes</t>
        </is>
      </c>
      <c r="S305">
        <f>IF(OR(E305="",D305=""),"",MAX(0,E305-D305))</f>
        <v/>
      </c>
      <c r="T305" t="inlineStr">
        <is>
          <t>No</t>
        </is>
      </c>
      <c r="U305" t="n">
        <v>42</v>
      </c>
      <c r="V305" t="inlineStr">
        <is>
          <t>Failed</t>
        </is>
      </c>
      <c r="W305" t="n">
        <v>4</v>
      </c>
      <c r="X305" t="inlineStr">
        <is>
          <t>None</t>
        </is>
      </c>
    </row>
    <row r="306">
      <c r="A306" t="inlineStr">
        <is>
          <t>ORD-2026-00305</t>
        </is>
      </c>
      <c r="B306" t="inlineStr">
        <is>
          <t>CUST-0027</t>
        </is>
      </c>
      <c r="C306" s="3" t="n">
        <v>46039</v>
      </c>
      <c r="D306" s="3" t="n">
        <v>46047</v>
      </c>
      <c r="E306" s="3" t="n">
        <v>46047</v>
      </c>
      <c r="F306" t="inlineStr">
        <is>
          <t>Chennai</t>
        </is>
      </c>
      <c r="G306" t="inlineStr">
        <is>
          <t>Mumbai</t>
        </is>
      </c>
      <c r="H306" t="inlineStr">
        <is>
          <t>FedEx</t>
        </is>
      </c>
      <c r="I306" t="inlineStr">
        <is>
          <t>Bike</t>
        </is>
      </c>
      <c r="J306" t="inlineStr">
        <is>
          <t>Low</t>
        </is>
      </c>
      <c r="K306" t="inlineStr">
        <is>
          <t>Delivered</t>
        </is>
      </c>
      <c r="L306" t="n">
        <v>2114.49</v>
      </c>
      <c r="M306" t="n">
        <v>1161</v>
      </c>
      <c r="N306" t="n">
        <v>51.77</v>
      </c>
      <c r="O306" t="n">
        <v>8421.889999999999</v>
      </c>
      <c r="P306" t="n">
        <v>208.54</v>
      </c>
      <c r="Q306">
        <f>ROUND(L306*M306*N306/1000+O306+P306,2)</f>
        <v/>
      </c>
      <c r="R306" t="inlineStr">
        <is>
          <t>Yes</t>
        </is>
      </c>
      <c r="S306">
        <f>IF(OR(E306="",D306=""),"",MAX(0,E306-D306))</f>
        <v/>
      </c>
      <c r="T306" t="inlineStr">
        <is>
          <t>No</t>
        </is>
      </c>
      <c r="U306" t="n">
        <v>69</v>
      </c>
      <c r="V306" t="inlineStr">
        <is>
          <t>Failed</t>
        </is>
      </c>
      <c r="W306" t="n">
        <v>4</v>
      </c>
      <c r="X306" t="inlineStr">
        <is>
          <t>Customs</t>
        </is>
      </c>
    </row>
    <row r="307">
      <c r="A307" t="inlineStr">
        <is>
          <t>ORD-2026-00306</t>
        </is>
      </c>
      <c r="B307" t="inlineStr">
        <is>
          <t>CUST-0111</t>
        </is>
      </c>
      <c r="C307" s="3" t="n">
        <v>46128</v>
      </c>
      <c r="D307" s="3" t="n">
        <v>46132</v>
      </c>
      <c r="E307" s="3" t="n">
        <v>46133</v>
      </c>
      <c r="F307" t="inlineStr">
        <is>
          <t>Chennai</t>
        </is>
      </c>
      <c r="G307" t="inlineStr">
        <is>
          <t>Kolkata</t>
        </is>
      </c>
      <c r="H307" t="inlineStr">
        <is>
          <t>Aramex</t>
        </is>
      </c>
      <c r="I307" t="inlineStr">
        <is>
          <t>Refrigerated Truck</t>
        </is>
      </c>
      <c r="J307" t="inlineStr">
        <is>
          <t>Normal</t>
        </is>
      </c>
      <c r="K307" t="inlineStr">
        <is>
          <t>Delivered</t>
        </is>
      </c>
      <c r="L307" t="n">
        <v>2434.74</v>
      </c>
      <c r="M307" t="n">
        <v>1577</v>
      </c>
      <c r="N307" t="n">
        <v>11.77</v>
      </c>
      <c r="O307" t="n">
        <v>1920.4</v>
      </c>
      <c r="P307" t="n">
        <v>1047.21</v>
      </c>
      <c r="Q307">
        <f>ROUND(L307*M307*N307/1000+O307+P307,2)</f>
        <v/>
      </c>
      <c r="R307" t="inlineStr">
        <is>
          <t>No</t>
        </is>
      </c>
      <c r="S307">
        <f>IF(OR(E307="",D307=""),"",MAX(0,E307-D307))</f>
        <v/>
      </c>
      <c r="T307" t="inlineStr">
        <is>
          <t>Yes</t>
        </is>
      </c>
      <c r="U307" t="n">
        <v>10</v>
      </c>
      <c r="V307" t="inlineStr">
        <is>
          <t>Failed</t>
        </is>
      </c>
      <c r="W307" t="n">
        <v>1</v>
      </c>
      <c r="X307" t="inlineStr">
        <is>
          <t>Customs</t>
        </is>
      </c>
    </row>
    <row r="308">
      <c r="A308" t="inlineStr">
        <is>
          <t>ORD-2026-00307</t>
        </is>
      </c>
      <c r="B308" t="inlineStr">
        <is>
          <t>CUST-0209</t>
        </is>
      </c>
      <c r="C308" s="3" t="n">
        <v>46175</v>
      </c>
      <c r="D308" s="3" t="n">
        <v>46183</v>
      </c>
      <c r="E308" s="3" t="n">
        <v>46183</v>
      </c>
      <c r="F308" t="inlineStr">
        <is>
          <t>Kolkata</t>
        </is>
      </c>
      <c r="G308" t="inlineStr">
        <is>
          <t>Chennai</t>
        </is>
      </c>
      <c r="H308" t="inlineStr">
        <is>
          <t>FedEx</t>
        </is>
      </c>
      <c r="I308" t="inlineStr">
        <is>
          <t>Container</t>
        </is>
      </c>
      <c r="J308" t="inlineStr">
        <is>
          <t>Low</t>
        </is>
      </c>
      <c r="K308" t="inlineStr">
        <is>
          <t>Delivered</t>
        </is>
      </c>
      <c r="L308" t="n">
        <v>1113.32</v>
      </c>
      <c r="M308" t="n">
        <v>1266</v>
      </c>
      <c r="N308" t="n">
        <v>62.49</v>
      </c>
      <c r="O308" t="n">
        <v>3010.17</v>
      </c>
      <c r="P308" t="n">
        <v>180.94</v>
      </c>
      <c r="Q308">
        <f>ROUND(L308*M308*N308/1000+O308+P308,2)</f>
        <v/>
      </c>
      <c r="R308" t="inlineStr">
        <is>
          <t>Yes</t>
        </is>
      </c>
      <c r="S308">
        <f>IF(OR(E308="",D308=""),"",MAX(0,E308-D308))</f>
        <v/>
      </c>
      <c r="T308" t="inlineStr">
        <is>
          <t>Yes</t>
        </is>
      </c>
      <c r="U308" t="n">
        <v>28</v>
      </c>
      <c r="V308" t="inlineStr">
        <is>
          <t>Pending</t>
        </is>
      </c>
      <c r="W308" t="n">
        <v>5</v>
      </c>
      <c r="X308" t="inlineStr">
        <is>
          <t>Customer Unavailable</t>
        </is>
      </c>
    </row>
    <row r="309">
      <c r="A309" t="inlineStr">
        <is>
          <t>ORD-2026-00308</t>
        </is>
      </c>
      <c r="B309" t="inlineStr">
        <is>
          <t>CUST-0175</t>
        </is>
      </c>
      <c r="C309" s="3" t="n">
        <v>46185</v>
      </c>
      <c r="D309" s="3" t="n">
        <v>46186</v>
      </c>
      <c r="E309" s="3" t="n">
        <v>46188</v>
      </c>
      <c r="F309" t="inlineStr">
        <is>
          <t>Hyderabad</t>
        </is>
      </c>
      <c r="G309" t="inlineStr">
        <is>
          <t>Pune</t>
        </is>
      </c>
      <c r="H309" t="inlineStr">
        <is>
          <t>DTDC</t>
        </is>
      </c>
      <c r="I309" t="inlineStr">
        <is>
          <t>Refrigerated Truck</t>
        </is>
      </c>
      <c r="J309" t="inlineStr">
        <is>
          <t>Critical</t>
        </is>
      </c>
      <c r="K309" t="inlineStr">
        <is>
          <t>Delivered</t>
        </is>
      </c>
      <c r="L309" t="n">
        <v>1132.71</v>
      </c>
      <c r="M309" t="n">
        <v>1198</v>
      </c>
      <c r="N309" t="n">
        <v>30.23</v>
      </c>
      <c r="O309" t="n">
        <v>2653.12</v>
      </c>
      <c r="P309" t="n">
        <v>309.59</v>
      </c>
      <c r="Q309">
        <f>ROUND(L309*M309*N309/1000+O309+P309,2)</f>
        <v/>
      </c>
      <c r="R309" t="inlineStr">
        <is>
          <t>No</t>
        </is>
      </c>
      <c r="S309">
        <f>IF(OR(E309="",D309=""),"",MAX(0,E309-D309))</f>
        <v/>
      </c>
      <c r="T309" t="inlineStr">
        <is>
          <t>No</t>
        </is>
      </c>
      <c r="U309" t="n">
        <v>12</v>
      </c>
      <c r="V309" t="inlineStr">
        <is>
          <t>Paid</t>
        </is>
      </c>
      <c r="W309" t="n">
        <v>5</v>
      </c>
      <c r="X309" t="inlineStr">
        <is>
          <t>Customs</t>
        </is>
      </c>
    </row>
    <row r="310">
      <c r="A310" t="inlineStr">
        <is>
          <t>ORD-2026-00309</t>
        </is>
      </c>
      <c r="B310" t="inlineStr">
        <is>
          <t>CUST-0222</t>
        </is>
      </c>
      <c r="C310" s="3" t="n">
        <v>46126</v>
      </c>
      <c r="D310" s="3" t="n">
        <v>46129</v>
      </c>
      <c r="E310" s="3" t="n"/>
      <c r="F310" t="inlineStr">
        <is>
          <t>Ahmedabad</t>
        </is>
      </c>
      <c r="G310" t="inlineStr">
        <is>
          <t>Bengaluru</t>
        </is>
      </c>
      <c r="H310" t="inlineStr">
        <is>
          <t>Delhivery</t>
        </is>
      </c>
      <c r="I310" t="inlineStr">
        <is>
          <t>Bike</t>
        </is>
      </c>
      <c r="J310" t="inlineStr">
        <is>
          <t>Critical</t>
        </is>
      </c>
      <c r="K310" t="inlineStr">
        <is>
          <t>In Transit</t>
        </is>
      </c>
      <c r="L310" t="n">
        <v>2.61</v>
      </c>
      <c r="M310" t="n">
        <v>2298</v>
      </c>
      <c r="N310" t="n">
        <v>54.78</v>
      </c>
      <c r="O310" t="n">
        <v>16.94</v>
      </c>
      <c r="P310" t="n">
        <v>1294.65</v>
      </c>
      <c r="Q310">
        <f>ROUND(L310*M310*N310/1000+O310+P310,2)</f>
        <v/>
      </c>
      <c r="R310" t="inlineStr">
        <is>
          <t>No</t>
        </is>
      </c>
      <c r="S310">
        <f>IF(OR(E310="",D310=""),"",MAX(0,E310-D310))</f>
        <v/>
      </c>
      <c r="T310" t="inlineStr">
        <is>
          <t>No</t>
        </is>
      </c>
      <c r="U310" t="n">
        <v>49</v>
      </c>
      <c r="V310" t="inlineStr">
        <is>
          <t>Failed</t>
        </is>
      </c>
      <c r="W310" t="n">
        <v>4</v>
      </c>
      <c r="X310" t="inlineStr">
        <is>
          <t>Weather</t>
        </is>
      </c>
    </row>
    <row r="311">
      <c r="A311" t="inlineStr">
        <is>
          <t>ORD-2026-00310</t>
        </is>
      </c>
      <c r="B311" t="inlineStr">
        <is>
          <t>CUST-0074</t>
        </is>
      </c>
      <c r="C311" s="3" t="n">
        <v>46162</v>
      </c>
      <c r="D311" s="3" t="n">
        <v>46166</v>
      </c>
      <c r="E311" s="3" t="n">
        <v>46167</v>
      </c>
      <c r="F311" t="inlineStr">
        <is>
          <t>Delhi</t>
        </is>
      </c>
      <c r="G311" t="inlineStr">
        <is>
          <t>Delhi</t>
        </is>
      </c>
      <c r="H311" t="inlineStr">
        <is>
          <t>BlueDart</t>
        </is>
      </c>
      <c r="I311" t="inlineStr">
        <is>
          <t>Van</t>
        </is>
      </c>
      <c r="J311" t="inlineStr">
        <is>
          <t>Low</t>
        </is>
      </c>
      <c r="K311" t="inlineStr">
        <is>
          <t>Delivered</t>
        </is>
      </c>
      <c r="L311" t="n">
        <v>470.97</v>
      </c>
      <c r="M311" t="n">
        <v>1580</v>
      </c>
      <c r="N311" t="n">
        <v>56.07</v>
      </c>
      <c r="O311" t="n">
        <v>2153.65</v>
      </c>
      <c r="P311" t="n">
        <v>637.51</v>
      </c>
      <c r="Q311">
        <f>ROUND(L311*M311*N311/1000+O311+P311,2)</f>
        <v/>
      </c>
      <c r="R311" t="inlineStr">
        <is>
          <t>No</t>
        </is>
      </c>
      <c r="S311">
        <f>IF(OR(E311="",D311=""),"",MAX(0,E311-D311))</f>
        <v/>
      </c>
      <c r="T311" t="inlineStr">
        <is>
          <t>Yes</t>
        </is>
      </c>
      <c r="U311" t="n">
        <v>63</v>
      </c>
      <c r="V311" t="inlineStr">
        <is>
          <t>Failed</t>
        </is>
      </c>
      <c r="W311" t="n">
        <v>2</v>
      </c>
      <c r="X311" t="inlineStr">
        <is>
          <t>None</t>
        </is>
      </c>
    </row>
    <row r="312">
      <c r="A312" t="inlineStr">
        <is>
          <t>ORD-2026-00311</t>
        </is>
      </c>
      <c r="B312" t="inlineStr">
        <is>
          <t>CUST-0210</t>
        </is>
      </c>
      <c r="C312" s="3" t="n">
        <v>46058</v>
      </c>
      <c r="D312" s="3" t="n">
        <v>46065</v>
      </c>
      <c r="E312" s="3" t="n">
        <v>46068</v>
      </c>
      <c r="F312" t="inlineStr">
        <is>
          <t>Jaipur</t>
        </is>
      </c>
      <c r="G312" t="inlineStr">
        <is>
          <t>Chennai</t>
        </is>
      </c>
      <c r="H312" t="inlineStr">
        <is>
          <t>FedEx</t>
        </is>
      </c>
      <c r="I312" t="inlineStr">
        <is>
          <t>Truck</t>
        </is>
      </c>
      <c r="J312" t="inlineStr">
        <is>
          <t>Normal</t>
        </is>
      </c>
      <c r="K312" t="inlineStr">
        <is>
          <t>Delivered</t>
        </is>
      </c>
      <c r="L312" t="n">
        <v>1738.63</v>
      </c>
      <c r="M312" t="n">
        <v>1748</v>
      </c>
      <c r="N312" t="n">
        <v>43.53</v>
      </c>
      <c r="O312" t="n">
        <v>7575.59</v>
      </c>
      <c r="P312" t="n">
        <v>647.7</v>
      </c>
      <c r="Q312">
        <f>ROUND(L312*M312*N312/1000+O312+P312,2)</f>
        <v/>
      </c>
      <c r="R312" t="inlineStr">
        <is>
          <t>No</t>
        </is>
      </c>
      <c r="S312">
        <f>IF(OR(E312="",D312=""),"",MAX(0,E312-D312))</f>
        <v/>
      </c>
      <c r="T312" t="inlineStr">
        <is>
          <t>No</t>
        </is>
      </c>
      <c r="U312" t="n">
        <v>78</v>
      </c>
      <c r="V312" t="inlineStr">
        <is>
          <t>Paid</t>
        </is>
      </c>
      <c r="W312" t="n">
        <v>5</v>
      </c>
      <c r="X312" t="inlineStr">
        <is>
          <t>Weather</t>
        </is>
      </c>
    </row>
    <row r="313">
      <c r="A313" t="inlineStr">
        <is>
          <t>ORD-2026-00312</t>
        </is>
      </c>
      <c r="B313" t="inlineStr">
        <is>
          <t>CUST-0181</t>
        </is>
      </c>
      <c r="C313" s="3" t="n">
        <v>46239</v>
      </c>
      <c r="D313" s="3" t="n">
        <v>46243</v>
      </c>
      <c r="E313" s="3" t="n">
        <v>46244</v>
      </c>
      <c r="F313" t="inlineStr">
        <is>
          <t>Hyderabad</t>
        </is>
      </c>
      <c r="G313" t="inlineStr">
        <is>
          <t>Mumbai</t>
        </is>
      </c>
      <c r="H313" t="inlineStr">
        <is>
          <t>DTDC</t>
        </is>
      </c>
      <c r="I313" t="inlineStr">
        <is>
          <t>Container</t>
        </is>
      </c>
      <c r="J313" t="inlineStr">
        <is>
          <t>Low</t>
        </is>
      </c>
      <c r="K313" t="inlineStr">
        <is>
          <t>Delivered</t>
        </is>
      </c>
      <c r="L313" t="n">
        <v>2316.45</v>
      </c>
      <c r="M313" t="n">
        <v>2365</v>
      </c>
      <c r="N313" t="n">
        <v>28.92</v>
      </c>
      <c r="O313" t="n">
        <v>14052.27</v>
      </c>
      <c r="P313" t="n">
        <v>860.86</v>
      </c>
      <c r="Q313">
        <f>ROUND(L313*M313*N313/1000+O313+P313,2)</f>
        <v/>
      </c>
      <c r="R313" t="inlineStr">
        <is>
          <t>No</t>
        </is>
      </c>
      <c r="S313">
        <f>IF(OR(E313="",D313=""),"",MAX(0,E313-D313))</f>
        <v/>
      </c>
      <c r="T313" t="inlineStr">
        <is>
          <t>Yes</t>
        </is>
      </c>
      <c r="U313" t="n">
        <v>68</v>
      </c>
      <c r="V313" t="inlineStr">
        <is>
          <t>COD</t>
        </is>
      </c>
      <c r="W313" t="n">
        <v>4</v>
      </c>
      <c r="X313" t="inlineStr">
        <is>
          <t>Customs</t>
        </is>
      </c>
    </row>
    <row r="314">
      <c r="A314" t="inlineStr">
        <is>
          <t>ORD-2026-00313</t>
        </is>
      </c>
      <c r="B314" t="inlineStr">
        <is>
          <t>CUST-0080</t>
        </is>
      </c>
      <c r="C314" s="3" t="n">
        <v>46043</v>
      </c>
      <c r="D314" s="3" t="n">
        <v>46045</v>
      </c>
      <c r="E314" s="3" t="n">
        <v>46045</v>
      </c>
      <c r="F314" t="inlineStr">
        <is>
          <t>Kolkata</t>
        </is>
      </c>
      <c r="G314" t="inlineStr">
        <is>
          <t>Ahmedabad</t>
        </is>
      </c>
      <c r="H314" t="inlineStr">
        <is>
          <t>FedEx</t>
        </is>
      </c>
      <c r="I314" t="inlineStr">
        <is>
          <t>Bike</t>
        </is>
      </c>
      <c r="J314" t="inlineStr">
        <is>
          <t>Low</t>
        </is>
      </c>
      <c r="K314" t="inlineStr">
        <is>
          <t>Delivered</t>
        </is>
      </c>
      <c r="L314" t="n">
        <v>1659.51</v>
      </c>
      <c r="M314" t="n">
        <v>2744</v>
      </c>
      <c r="N314" t="n">
        <v>12.45</v>
      </c>
      <c r="O314" t="n">
        <v>3856.36</v>
      </c>
      <c r="P314" t="n">
        <v>1201.19</v>
      </c>
      <c r="Q314">
        <f>ROUND(L314*M314*N314/1000+O314+P314,2)</f>
        <v/>
      </c>
      <c r="R314" t="inlineStr">
        <is>
          <t>Yes</t>
        </is>
      </c>
      <c r="S314">
        <f>IF(OR(E314="",D314=""),"",MAX(0,E314-D314))</f>
        <v/>
      </c>
      <c r="T314" t="inlineStr">
        <is>
          <t>No</t>
        </is>
      </c>
      <c r="U314" t="n">
        <v>59</v>
      </c>
      <c r="V314" t="inlineStr">
        <is>
          <t>Failed</t>
        </is>
      </c>
      <c r="W314" t="n">
        <v>5</v>
      </c>
      <c r="X314" t="inlineStr">
        <is>
          <t>Damaged Package</t>
        </is>
      </c>
    </row>
    <row r="315">
      <c r="A315" t="inlineStr">
        <is>
          <t>ORD-2026-00314</t>
        </is>
      </c>
      <c r="B315" t="inlineStr">
        <is>
          <t>CUST-0187</t>
        </is>
      </c>
      <c r="C315" s="3" t="n">
        <v>46107</v>
      </c>
      <c r="D315" s="3" t="n">
        <v>46114</v>
      </c>
      <c r="E315" s="3" t="n">
        <v>46114</v>
      </c>
      <c r="F315" t="inlineStr">
        <is>
          <t>Kolkata</t>
        </is>
      </c>
      <c r="G315" t="inlineStr">
        <is>
          <t>Pune</t>
        </is>
      </c>
      <c r="H315" t="inlineStr">
        <is>
          <t>BlueDart</t>
        </is>
      </c>
      <c r="I315" t="inlineStr">
        <is>
          <t>Container</t>
        </is>
      </c>
      <c r="J315" t="inlineStr">
        <is>
          <t>Normal</t>
        </is>
      </c>
      <c r="K315" t="inlineStr">
        <is>
          <t>Delivered</t>
        </is>
      </c>
      <c r="L315" t="n">
        <v>736.9</v>
      </c>
      <c r="M315" t="n">
        <v>691</v>
      </c>
      <c r="N315" t="n">
        <v>10.01</v>
      </c>
      <c r="O315" t="n">
        <v>435.15</v>
      </c>
      <c r="P315" t="n">
        <v>1129.15</v>
      </c>
      <c r="Q315">
        <f>ROUND(L315*M315*N315/1000+O315+P315,2)</f>
        <v/>
      </c>
      <c r="R315" t="inlineStr">
        <is>
          <t>Yes</t>
        </is>
      </c>
      <c r="S315">
        <f>IF(OR(E315="",D315=""),"",MAX(0,E315-D315))</f>
        <v/>
      </c>
      <c r="T315" t="inlineStr">
        <is>
          <t>Yes</t>
        </is>
      </c>
      <c r="U315" t="n">
        <v>38</v>
      </c>
      <c r="V315" t="inlineStr">
        <is>
          <t>Paid</t>
        </is>
      </c>
      <c r="W315" t="n">
        <v>3</v>
      </c>
      <c r="X315" t="inlineStr">
        <is>
          <t>Weather</t>
        </is>
      </c>
    </row>
    <row r="316">
      <c r="A316" t="inlineStr">
        <is>
          <t>ORD-2026-00315</t>
        </is>
      </c>
      <c r="B316" t="inlineStr">
        <is>
          <t>CUST-0190</t>
        </is>
      </c>
      <c r="C316" s="3" t="n">
        <v>46044</v>
      </c>
      <c r="D316" s="3" t="n">
        <v>46047</v>
      </c>
      <c r="E316" s="3" t="n">
        <v>46047</v>
      </c>
      <c r="F316" t="inlineStr">
        <is>
          <t>Mumbai</t>
        </is>
      </c>
      <c r="G316" t="inlineStr">
        <is>
          <t>Kolkata</t>
        </is>
      </c>
      <c r="H316" t="inlineStr">
        <is>
          <t>DHL</t>
        </is>
      </c>
      <c r="I316" t="inlineStr">
        <is>
          <t>Bike</t>
        </is>
      </c>
      <c r="J316" t="inlineStr">
        <is>
          <t>Normal</t>
        </is>
      </c>
      <c r="K316" t="inlineStr">
        <is>
          <t>Delivered</t>
        </is>
      </c>
      <c r="L316" t="n">
        <v>694.98</v>
      </c>
      <c r="M316" t="n">
        <v>547</v>
      </c>
      <c r="N316" t="n">
        <v>43.1</v>
      </c>
      <c r="O316" t="n">
        <v>762.1</v>
      </c>
      <c r="P316" t="n">
        <v>400.29</v>
      </c>
      <c r="Q316">
        <f>ROUND(L316*M316*N316/1000+O316+P316,2)</f>
        <v/>
      </c>
      <c r="R316" t="inlineStr">
        <is>
          <t>Yes</t>
        </is>
      </c>
      <c r="S316">
        <f>IF(OR(E316="",D316=""),"",MAX(0,E316-D316))</f>
        <v/>
      </c>
      <c r="T316" t="inlineStr">
        <is>
          <t>No</t>
        </is>
      </c>
      <c r="U316" t="n">
        <v>48</v>
      </c>
      <c r="V316" t="inlineStr">
        <is>
          <t>Pending</t>
        </is>
      </c>
      <c r="W316" t="n">
        <v>3</v>
      </c>
      <c r="X316" t="inlineStr">
        <is>
          <t>Customer Unavailable</t>
        </is>
      </c>
    </row>
    <row r="317">
      <c r="A317" t="inlineStr">
        <is>
          <t>ORD-2026-00316</t>
        </is>
      </c>
      <c r="B317" t="inlineStr">
        <is>
          <t>CUST-0211</t>
        </is>
      </c>
      <c r="C317" s="3" t="n">
        <v>46202</v>
      </c>
      <c r="D317" s="3" t="n">
        <v>46206</v>
      </c>
      <c r="E317" s="3" t="n">
        <v>46206</v>
      </c>
      <c r="F317" t="inlineStr">
        <is>
          <t>Delhi</t>
        </is>
      </c>
      <c r="G317" t="inlineStr">
        <is>
          <t>Jaipur</t>
        </is>
      </c>
      <c r="H317" t="inlineStr">
        <is>
          <t>Aramex</t>
        </is>
      </c>
      <c r="I317" t="inlineStr">
        <is>
          <t>Container</t>
        </is>
      </c>
      <c r="J317" t="inlineStr">
        <is>
          <t>Critical</t>
        </is>
      </c>
      <c r="K317" t="inlineStr">
        <is>
          <t>Delivered</t>
        </is>
      </c>
      <c r="L317" t="n">
        <v>2155.11</v>
      </c>
      <c r="M317" t="n">
        <v>1409</v>
      </c>
      <c r="N317" t="n">
        <v>64.09</v>
      </c>
      <c r="O317" t="n">
        <v>17133.83</v>
      </c>
      <c r="P317" t="n">
        <v>901.41</v>
      </c>
      <c r="Q317">
        <f>ROUND(L317*M317*N317/1000+O317+P317,2)</f>
        <v/>
      </c>
      <c r="R317" t="inlineStr">
        <is>
          <t>Yes</t>
        </is>
      </c>
      <c r="S317">
        <f>IF(OR(E317="",D317=""),"",MAX(0,E317-D317))</f>
        <v/>
      </c>
      <c r="T317" t="inlineStr">
        <is>
          <t>Yes</t>
        </is>
      </c>
      <c r="U317" t="n">
        <v>57</v>
      </c>
      <c r="V317" t="inlineStr">
        <is>
          <t>Pending</t>
        </is>
      </c>
      <c r="W317" t="n">
        <v>2</v>
      </c>
      <c r="X317" t="inlineStr">
        <is>
          <t>Customs</t>
        </is>
      </c>
    </row>
    <row r="318">
      <c r="A318" t="inlineStr">
        <is>
          <t>ORD-2026-00317</t>
        </is>
      </c>
      <c r="B318" t="inlineStr">
        <is>
          <t>CUST-0192</t>
        </is>
      </c>
      <c r="C318" s="3" t="n">
        <v>46210</v>
      </c>
      <c r="D318" s="3" t="n">
        <v>46216</v>
      </c>
      <c r="E318" s="3" t="n">
        <v>46216</v>
      </c>
      <c r="F318" t="inlineStr">
        <is>
          <t>Surat</t>
        </is>
      </c>
      <c r="G318" t="inlineStr">
        <is>
          <t>Bengaluru</t>
        </is>
      </c>
      <c r="H318" t="inlineStr">
        <is>
          <t>Delhivery</t>
        </is>
      </c>
      <c r="I318" t="inlineStr">
        <is>
          <t>Container</t>
        </is>
      </c>
      <c r="J318" t="inlineStr">
        <is>
          <t>Critical</t>
        </is>
      </c>
      <c r="K318" t="inlineStr">
        <is>
          <t>Delivered</t>
        </is>
      </c>
      <c r="L318" t="n">
        <v>2048.92</v>
      </c>
      <c r="M318" t="n">
        <v>220</v>
      </c>
      <c r="N318" t="n">
        <v>17.55</v>
      </c>
      <c r="O318" t="n">
        <v>426.59</v>
      </c>
      <c r="P318" t="n">
        <v>466.02</v>
      </c>
      <c r="Q318">
        <f>ROUND(L318*M318*N318/1000+O318+P318,2)</f>
        <v/>
      </c>
      <c r="R318" t="inlineStr">
        <is>
          <t>Yes</t>
        </is>
      </c>
      <c r="S318">
        <f>IF(OR(E318="",D318=""),"",MAX(0,E318-D318))</f>
        <v/>
      </c>
      <c r="T318" t="inlineStr">
        <is>
          <t>No</t>
        </is>
      </c>
      <c r="U318" t="n">
        <v>19</v>
      </c>
      <c r="V318" t="inlineStr">
        <is>
          <t>Failed</t>
        </is>
      </c>
      <c r="W318" t="n">
        <v>1</v>
      </c>
      <c r="X318" t="inlineStr">
        <is>
          <t>Vehicle Breakdown</t>
        </is>
      </c>
    </row>
    <row r="319">
      <c r="A319" t="inlineStr">
        <is>
          <t>ORD-2026-00318</t>
        </is>
      </c>
      <c r="B319" t="inlineStr">
        <is>
          <t>CUST-0217</t>
        </is>
      </c>
      <c r="C319" s="3" t="n">
        <v>46227</v>
      </c>
      <c r="D319" s="3" t="n">
        <v>46235</v>
      </c>
      <c r="E319" s="3" t="n">
        <v>46235</v>
      </c>
      <c r="F319" t="inlineStr">
        <is>
          <t>Chennai</t>
        </is>
      </c>
      <c r="G319" t="inlineStr">
        <is>
          <t>Kolkata</t>
        </is>
      </c>
      <c r="H319" t="inlineStr">
        <is>
          <t>Maersk</t>
        </is>
      </c>
      <c r="I319" t="inlineStr">
        <is>
          <t>Refrigerated Truck</t>
        </is>
      </c>
      <c r="J319" t="inlineStr">
        <is>
          <t>High</t>
        </is>
      </c>
      <c r="K319" t="inlineStr">
        <is>
          <t>Delivered</t>
        </is>
      </c>
      <c r="L319" t="n">
        <v>1325.87</v>
      </c>
      <c r="M319" t="n">
        <v>173</v>
      </c>
      <c r="N319" t="n">
        <v>13.55</v>
      </c>
      <c r="O319" t="n">
        <v>192.32</v>
      </c>
      <c r="P319" t="n">
        <v>543.67</v>
      </c>
      <c r="Q319">
        <f>ROUND(L319*M319*N319/1000+O319+P319,2)</f>
        <v/>
      </c>
      <c r="R319" t="inlineStr">
        <is>
          <t>Yes</t>
        </is>
      </c>
      <c r="S319">
        <f>IF(OR(E319="",D319=""),"",MAX(0,E319-D319))</f>
        <v/>
      </c>
      <c r="T319" t="inlineStr">
        <is>
          <t>No</t>
        </is>
      </c>
      <c r="U319" t="n">
        <v>35</v>
      </c>
      <c r="V319" t="inlineStr">
        <is>
          <t>Paid</t>
        </is>
      </c>
      <c r="W319" t="n">
        <v>3</v>
      </c>
      <c r="X319" t="inlineStr">
        <is>
          <t>Damaged Package</t>
        </is>
      </c>
    </row>
    <row r="320">
      <c r="A320" t="inlineStr">
        <is>
          <t>ORD-2026-00319</t>
        </is>
      </c>
      <c r="B320" t="inlineStr">
        <is>
          <t>CUST-0177</t>
        </is>
      </c>
      <c r="C320" s="3" t="n">
        <v>46172</v>
      </c>
      <c r="D320" s="3" t="n">
        <v>46179</v>
      </c>
      <c r="E320" s="3" t="n">
        <v>46179</v>
      </c>
      <c r="F320" t="inlineStr">
        <is>
          <t>Delhi</t>
        </is>
      </c>
      <c r="G320" t="inlineStr">
        <is>
          <t>Hyderabad</t>
        </is>
      </c>
      <c r="H320" t="inlineStr">
        <is>
          <t>DTDC</t>
        </is>
      </c>
      <c r="I320" t="inlineStr">
        <is>
          <t>Van</t>
        </is>
      </c>
      <c r="J320" t="inlineStr">
        <is>
          <t>Low</t>
        </is>
      </c>
      <c r="K320" t="inlineStr">
        <is>
          <t>Delivered</t>
        </is>
      </c>
      <c r="L320" t="n">
        <v>604.87</v>
      </c>
      <c r="M320" t="n">
        <v>2757</v>
      </c>
      <c r="N320" t="n">
        <v>41.56</v>
      </c>
      <c r="O320" t="n">
        <v>2889.77</v>
      </c>
      <c r="P320" t="n">
        <v>519.36</v>
      </c>
      <c r="Q320">
        <f>ROUND(L320*M320*N320/1000+O320+P320,2)</f>
        <v/>
      </c>
      <c r="R320" t="inlineStr">
        <is>
          <t>Yes</t>
        </is>
      </c>
      <c r="S320">
        <f>IF(OR(E320="",D320=""),"",MAX(0,E320-D320))</f>
        <v/>
      </c>
      <c r="T320" t="inlineStr">
        <is>
          <t>Yes</t>
        </is>
      </c>
      <c r="U320" t="n">
        <v>2</v>
      </c>
      <c r="V320" t="inlineStr">
        <is>
          <t>Failed</t>
        </is>
      </c>
      <c r="W320" t="n">
        <v>1</v>
      </c>
      <c r="X320" t="inlineStr">
        <is>
          <t>Customs</t>
        </is>
      </c>
    </row>
    <row r="321">
      <c r="A321" t="inlineStr">
        <is>
          <t>ORD-2026-00320</t>
        </is>
      </c>
      <c r="B321" t="inlineStr">
        <is>
          <t>CUST-0169</t>
        </is>
      </c>
      <c r="C321" s="3" t="n">
        <v>46049</v>
      </c>
      <c r="D321" s="3" t="n">
        <v>46057</v>
      </c>
      <c r="E321" s="3" t="n">
        <v>46057</v>
      </c>
      <c r="F321" t="inlineStr">
        <is>
          <t>Bengaluru</t>
        </is>
      </c>
      <c r="G321" t="inlineStr">
        <is>
          <t>Kolkata</t>
        </is>
      </c>
      <c r="H321" t="inlineStr">
        <is>
          <t>Maersk</t>
        </is>
      </c>
      <c r="I321" t="inlineStr">
        <is>
          <t>Van</t>
        </is>
      </c>
      <c r="J321" t="inlineStr">
        <is>
          <t>Low</t>
        </is>
      </c>
      <c r="K321" t="inlineStr">
        <is>
          <t>Delivered</t>
        </is>
      </c>
      <c r="L321" t="n">
        <v>630.11</v>
      </c>
      <c r="M321" t="n">
        <v>144</v>
      </c>
      <c r="N321" t="n">
        <v>9.35</v>
      </c>
      <c r="O321" t="n">
        <v>30.13</v>
      </c>
      <c r="P321" t="n">
        <v>1408.99</v>
      </c>
      <c r="Q321">
        <f>ROUND(L321*M321*N321/1000+O321+P321,2)</f>
        <v/>
      </c>
      <c r="R321" t="inlineStr">
        <is>
          <t>Yes</t>
        </is>
      </c>
      <c r="S321">
        <f>IF(OR(E321="",D321=""),"",MAX(0,E321-D321))</f>
        <v/>
      </c>
      <c r="T321" t="inlineStr">
        <is>
          <t>Yes</t>
        </is>
      </c>
      <c r="U321" t="n">
        <v>78</v>
      </c>
      <c r="V321" t="inlineStr">
        <is>
          <t>Pending</t>
        </is>
      </c>
      <c r="W321" t="n">
        <v>4</v>
      </c>
      <c r="X321" t="inlineStr">
        <is>
          <t>Damaged Package</t>
        </is>
      </c>
    </row>
    <row r="322">
      <c r="A322" t="inlineStr">
        <is>
          <t>ORD-2026-00321</t>
        </is>
      </c>
      <c r="B322" t="inlineStr">
        <is>
          <t>CUST-0071</t>
        </is>
      </c>
      <c r="C322" s="3" t="n">
        <v>46218</v>
      </c>
      <c r="D322" s="3" t="n">
        <v>46221</v>
      </c>
      <c r="E322" s="3" t="n">
        <v>46224</v>
      </c>
      <c r="F322" t="inlineStr">
        <is>
          <t>Chennai</t>
        </is>
      </c>
      <c r="G322" t="inlineStr">
        <is>
          <t>Hyderabad</t>
        </is>
      </c>
      <c r="H322" t="inlineStr">
        <is>
          <t>FedEx</t>
        </is>
      </c>
      <c r="I322" t="inlineStr">
        <is>
          <t>Truck</t>
        </is>
      </c>
      <c r="J322" t="inlineStr">
        <is>
          <t>Low</t>
        </is>
      </c>
      <c r="K322" t="inlineStr">
        <is>
          <t>Delivered</t>
        </is>
      </c>
      <c r="L322" t="n">
        <v>633.71</v>
      </c>
      <c r="M322" t="n">
        <v>1917</v>
      </c>
      <c r="N322" t="n">
        <v>45.65</v>
      </c>
      <c r="O322" t="n">
        <v>1915.63</v>
      </c>
      <c r="P322" t="n">
        <v>691.1</v>
      </c>
      <c r="Q322">
        <f>ROUND(L322*M322*N322/1000+O322+P322,2)</f>
        <v/>
      </c>
      <c r="R322" t="inlineStr">
        <is>
          <t>No</t>
        </is>
      </c>
      <c r="S322">
        <f>IF(OR(E322="",D322=""),"",MAX(0,E322-D322))</f>
        <v/>
      </c>
      <c r="T322" t="inlineStr">
        <is>
          <t>No</t>
        </is>
      </c>
      <c r="U322" t="n">
        <v>8</v>
      </c>
      <c r="V322" t="inlineStr">
        <is>
          <t>Failed</t>
        </is>
      </c>
      <c r="W322" t="n">
        <v>4</v>
      </c>
      <c r="X322" t="inlineStr">
        <is>
          <t>Vehicle Breakdown</t>
        </is>
      </c>
    </row>
    <row r="323">
      <c r="A323" t="inlineStr">
        <is>
          <t>ORD-2026-00322</t>
        </is>
      </c>
      <c r="B323" t="inlineStr">
        <is>
          <t>CUST-0166</t>
        </is>
      </c>
      <c r="C323" s="3" t="n">
        <v>46038</v>
      </c>
      <c r="D323" s="3" t="n">
        <v>46043</v>
      </c>
      <c r="E323" s="3" t="n">
        <v>46048</v>
      </c>
      <c r="F323" t="inlineStr">
        <is>
          <t>Jaipur</t>
        </is>
      </c>
      <c r="G323" t="inlineStr">
        <is>
          <t>Mumbai</t>
        </is>
      </c>
      <c r="H323" t="inlineStr">
        <is>
          <t>DHL</t>
        </is>
      </c>
      <c r="I323" t="inlineStr">
        <is>
          <t>Bike</t>
        </is>
      </c>
      <c r="J323" t="inlineStr">
        <is>
          <t>Critical</t>
        </is>
      </c>
      <c r="K323" t="inlineStr">
        <is>
          <t>Delivered</t>
        </is>
      </c>
      <c r="L323" t="n">
        <v>1101.72</v>
      </c>
      <c r="M323" t="n">
        <v>2019</v>
      </c>
      <c r="N323" t="n">
        <v>63.83</v>
      </c>
      <c r="O323" t="n">
        <v>5968.93</v>
      </c>
      <c r="P323" t="n">
        <v>601.1</v>
      </c>
      <c r="Q323">
        <f>ROUND(L323*M323*N323/1000+O323+P323,2)</f>
        <v/>
      </c>
      <c r="R323" t="inlineStr">
        <is>
          <t>No</t>
        </is>
      </c>
      <c r="S323">
        <f>IF(OR(E323="",D323=""),"",MAX(0,E323-D323))</f>
        <v/>
      </c>
      <c r="T323" t="inlineStr">
        <is>
          <t>Yes</t>
        </is>
      </c>
      <c r="U323" t="n">
        <v>79</v>
      </c>
      <c r="V323" t="inlineStr">
        <is>
          <t>Paid</t>
        </is>
      </c>
      <c r="W323" t="n">
        <v>4</v>
      </c>
      <c r="X323" t="inlineStr">
        <is>
          <t>Damaged Package</t>
        </is>
      </c>
    </row>
    <row r="324">
      <c r="A324" t="inlineStr">
        <is>
          <t>ORD-2026-00323</t>
        </is>
      </c>
      <c r="B324" t="inlineStr">
        <is>
          <t>CUST-0171</t>
        </is>
      </c>
      <c r="C324" s="3" t="n">
        <v>46089</v>
      </c>
      <c r="D324" s="3" t="n">
        <v>46091</v>
      </c>
      <c r="E324" s="3" t="n">
        <v>46098</v>
      </c>
      <c r="F324" t="inlineStr">
        <is>
          <t>Chennai</t>
        </is>
      </c>
      <c r="G324" t="inlineStr">
        <is>
          <t>Pune</t>
        </is>
      </c>
      <c r="H324" t="inlineStr">
        <is>
          <t>DHL</t>
        </is>
      </c>
      <c r="I324" t="inlineStr">
        <is>
          <t>Refrigerated Truck</t>
        </is>
      </c>
      <c r="J324" t="inlineStr">
        <is>
          <t>Critical</t>
        </is>
      </c>
      <c r="K324" t="inlineStr">
        <is>
          <t>Delayed</t>
        </is>
      </c>
      <c r="L324" t="n">
        <v>1114.98</v>
      </c>
      <c r="M324" t="n">
        <v>2043</v>
      </c>
      <c r="N324" t="n">
        <v>16.48</v>
      </c>
      <c r="O324" t="n">
        <v>2568.48</v>
      </c>
      <c r="P324" t="n">
        <v>1400.68</v>
      </c>
      <c r="Q324">
        <f>ROUND(L324*M324*N324/1000+O324+P324,2)</f>
        <v/>
      </c>
      <c r="R324" t="inlineStr">
        <is>
          <t>No</t>
        </is>
      </c>
      <c r="S324">
        <f>IF(OR(E324="",D324=""),"",MAX(0,E324-D324))</f>
        <v/>
      </c>
      <c r="T324" t="inlineStr">
        <is>
          <t>Yes</t>
        </is>
      </c>
      <c r="U324" t="n">
        <v>66</v>
      </c>
      <c r="V324" t="inlineStr">
        <is>
          <t>Failed</t>
        </is>
      </c>
      <c r="W324" t="n">
        <v>4</v>
      </c>
      <c r="X324" t="inlineStr">
        <is>
          <t>Weather</t>
        </is>
      </c>
    </row>
    <row r="325">
      <c r="A325" t="inlineStr">
        <is>
          <t>ORD-2026-00324</t>
        </is>
      </c>
      <c r="B325" t="inlineStr">
        <is>
          <t>CUST-0103</t>
        </is>
      </c>
      <c r="C325" s="3" t="n">
        <v>46126</v>
      </c>
      <c r="D325" s="3" t="n">
        <v>46128</v>
      </c>
      <c r="E325" s="3" t="n"/>
      <c r="F325" t="inlineStr">
        <is>
          <t>Ahmedabad</t>
        </is>
      </c>
      <c r="G325" t="inlineStr">
        <is>
          <t>Mumbai</t>
        </is>
      </c>
      <c r="H325" t="inlineStr">
        <is>
          <t>FedEx</t>
        </is>
      </c>
      <c r="I325" t="inlineStr">
        <is>
          <t>Bike</t>
        </is>
      </c>
      <c r="J325" t="inlineStr">
        <is>
          <t>High</t>
        </is>
      </c>
      <c r="K325" t="inlineStr">
        <is>
          <t>Exception</t>
        </is>
      </c>
      <c r="L325" t="n">
        <v>303.45</v>
      </c>
      <c r="M325" t="n">
        <v>2197</v>
      </c>
      <c r="N325" t="n">
        <v>61.3</v>
      </c>
      <c r="O325" t="n">
        <v>2106.11</v>
      </c>
      <c r="P325" t="n">
        <v>1029.12</v>
      </c>
      <c r="Q325">
        <f>ROUND(L325*M325*N325/1000+O325+P325,2)</f>
        <v/>
      </c>
      <c r="R325" t="inlineStr">
        <is>
          <t>No</t>
        </is>
      </c>
      <c r="S325">
        <f>IF(OR(E325="",D325=""),"",MAX(0,E325-D325))</f>
        <v/>
      </c>
      <c r="T325" t="inlineStr">
        <is>
          <t>Yes</t>
        </is>
      </c>
      <c r="U325" t="n">
        <v>59</v>
      </c>
      <c r="V325" t="inlineStr">
        <is>
          <t>COD</t>
        </is>
      </c>
      <c r="W325" t="n">
        <v>2</v>
      </c>
      <c r="X325" t="inlineStr">
        <is>
          <t>Address Error</t>
        </is>
      </c>
    </row>
    <row r="326">
      <c r="A326" t="inlineStr">
        <is>
          <t>ORD-2026-00325</t>
        </is>
      </c>
      <c r="B326" t="inlineStr">
        <is>
          <t>CUST-0022</t>
        </is>
      </c>
      <c r="C326" s="3" t="n">
        <v>46164</v>
      </c>
      <c r="D326" s="3" t="n">
        <v>46165</v>
      </c>
      <c r="E326" s="3" t="n">
        <v>46175</v>
      </c>
      <c r="F326" t="inlineStr">
        <is>
          <t>Jaipur</t>
        </is>
      </c>
      <c r="G326" t="inlineStr">
        <is>
          <t>Bengaluru</t>
        </is>
      </c>
      <c r="H326" t="inlineStr">
        <is>
          <t>DHL</t>
        </is>
      </c>
      <c r="I326" t="inlineStr">
        <is>
          <t>Van</t>
        </is>
      </c>
      <c r="J326" t="inlineStr">
        <is>
          <t>Normal</t>
        </is>
      </c>
      <c r="K326" t="inlineStr">
        <is>
          <t>Delivered</t>
        </is>
      </c>
      <c r="L326" t="n">
        <v>747.53</v>
      </c>
      <c r="M326" t="n">
        <v>1602</v>
      </c>
      <c r="N326" t="n">
        <v>59.1</v>
      </c>
      <c r="O326" t="n">
        <v>4801.15</v>
      </c>
      <c r="P326" t="n">
        <v>551.71</v>
      </c>
      <c r="Q326">
        <f>ROUND(L326*M326*N326/1000+O326+P326,2)</f>
        <v/>
      </c>
      <c r="R326" t="inlineStr">
        <is>
          <t>No</t>
        </is>
      </c>
      <c r="S326">
        <f>IF(OR(E326="",D326=""),"",MAX(0,E326-D326))</f>
        <v/>
      </c>
      <c r="T326" t="inlineStr">
        <is>
          <t>Yes</t>
        </is>
      </c>
      <c r="U326" t="n">
        <v>76</v>
      </c>
      <c r="V326" t="inlineStr">
        <is>
          <t>Pending</t>
        </is>
      </c>
      <c r="W326" t="n">
        <v>4</v>
      </c>
      <c r="X326" t="inlineStr">
        <is>
          <t>Weather</t>
        </is>
      </c>
    </row>
    <row r="327">
      <c r="A327" t="inlineStr">
        <is>
          <t>ORD-2026-00326</t>
        </is>
      </c>
      <c r="B327" t="inlineStr">
        <is>
          <t>CUST-0011</t>
        </is>
      </c>
      <c r="C327" s="3" t="n">
        <v>46039</v>
      </c>
      <c r="D327" s="3" t="n">
        <v>46044</v>
      </c>
      <c r="E327" s="3" t="n">
        <v>46044</v>
      </c>
      <c r="F327" t="inlineStr">
        <is>
          <t>Chennai</t>
        </is>
      </c>
      <c r="G327" t="inlineStr">
        <is>
          <t>Mumbai</t>
        </is>
      </c>
      <c r="H327" t="inlineStr">
        <is>
          <t>DHL</t>
        </is>
      </c>
      <c r="I327" t="inlineStr">
        <is>
          <t>Bike</t>
        </is>
      </c>
      <c r="J327" t="inlineStr">
        <is>
          <t>Critical</t>
        </is>
      </c>
      <c r="K327" t="inlineStr">
        <is>
          <t>Delivered</t>
        </is>
      </c>
      <c r="L327" t="n">
        <v>2029.54</v>
      </c>
      <c r="M327" t="n">
        <v>72</v>
      </c>
      <c r="N327" t="n">
        <v>10.11</v>
      </c>
      <c r="O327" t="n">
        <v>49.29</v>
      </c>
      <c r="P327" t="n">
        <v>1185.91</v>
      </c>
      <c r="Q327">
        <f>ROUND(L327*M327*N327/1000+O327+P327,2)</f>
        <v/>
      </c>
      <c r="R327" t="inlineStr">
        <is>
          <t>Yes</t>
        </is>
      </c>
      <c r="S327">
        <f>IF(OR(E327="",D327=""),"",MAX(0,E327-D327))</f>
        <v/>
      </c>
      <c r="T327" t="inlineStr">
        <is>
          <t>Yes</t>
        </is>
      </c>
      <c r="U327" t="n">
        <v>75</v>
      </c>
      <c r="V327" t="inlineStr">
        <is>
          <t>Pending</t>
        </is>
      </c>
      <c r="W327" t="n">
        <v>1</v>
      </c>
      <c r="X327" t="inlineStr">
        <is>
          <t>None</t>
        </is>
      </c>
    </row>
    <row r="328">
      <c r="A328" t="inlineStr">
        <is>
          <t>ORD-2026-00327</t>
        </is>
      </c>
      <c r="B328" t="inlineStr">
        <is>
          <t>CUST-0079</t>
        </is>
      </c>
      <c r="C328" s="3" t="n">
        <v>46211</v>
      </c>
      <c r="D328" s="3" t="n">
        <v>46214</v>
      </c>
      <c r="E328" s="3" t="n"/>
      <c r="F328" t="inlineStr">
        <is>
          <t>Mumbai</t>
        </is>
      </c>
      <c r="G328" t="inlineStr">
        <is>
          <t>Jaipur</t>
        </is>
      </c>
      <c r="H328" t="inlineStr">
        <is>
          <t>DTDC</t>
        </is>
      </c>
      <c r="I328" t="inlineStr">
        <is>
          <t>Truck</t>
        </is>
      </c>
      <c r="J328" t="inlineStr">
        <is>
          <t>Low</t>
        </is>
      </c>
      <c r="K328" t="inlineStr">
        <is>
          <t>In Transit</t>
        </is>
      </c>
      <c r="L328" t="n">
        <v>607.09</v>
      </c>
      <c r="M328" t="n">
        <v>2662</v>
      </c>
      <c r="N328" t="n">
        <v>15.44</v>
      </c>
      <c r="O328" t="n">
        <v>1006.44</v>
      </c>
      <c r="P328" t="n">
        <v>93.94</v>
      </c>
      <c r="Q328">
        <f>ROUND(L328*M328*N328/1000+O328+P328,2)</f>
        <v/>
      </c>
      <c r="R328" t="inlineStr">
        <is>
          <t>No</t>
        </is>
      </c>
      <c r="S328">
        <f>IF(OR(E328="",D328=""),"",MAX(0,E328-D328))</f>
        <v/>
      </c>
      <c r="T328" t="inlineStr">
        <is>
          <t>Yes</t>
        </is>
      </c>
      <c r="U328" t="n">
        <v>15</v>
      </c>
      <c r="V328" t="inlineStr">
        <is>
          <t>Failed</t>
        </is>
      </c>
      <c r="W328" t="n">
        <v>5</v>
      </c>
      <c r="X328" t="inlineStr">
        <is>
          <t>Customer Unavailable</t>
        </is>
      </c>
    </row>
    <row r="329">
      <c r="A329" t="inlineStr">
        <is>
          <t>ORD-2026-00328</t>
        </is>
      </c>
      <c r="B329" t="inlineStr">
        <is>
          <t>CUST-0140</t>
        </is>
      </c>
      <c r="C329" s="3" t="n">
        <v>46180</v>
      </c>
      <c r="D329" s="3" t="n">
        <v>46184</v>
      </c>
      <c r="E329" s="3" t="n">
        <v>46184</v>
      </c>
      <c r="F329" t="inlineStr">
        <is>
          <t>Delhi</t>
        </is>
      </c>
      <c r="G329" t="inlineStr">
        <is>
          <t>Hyderabad</t>
        </is>
      </c>
      <c r="H329" t="inlineStr">
        <is>
          <t>Aramex</t>
        </is>
      </c>
      <c r="I329" t="inlineStr">
        <is>
          <t>Truck</t>
        </is>
      </c>
      <c r="J329" t="inlineStr">
        <is>
          <t>Low</t>
        </is>
      </c>
      <c r="K329" t="inlineStr">
        <is>
          <t>Delivered</t>
        </is>
      </c>
      <c r="L329" t="n">
        <v>843.6900000000001</v>
      </c>
      <c r="M329" t="n">
        <v>2783</v>
      </c>
      <c r="N329" t="n">
        <v>30.91</v>
      </c>
      <c r="O329" t="n">
        <v>2703.33</v>
      </c>
      <c r="P329" t="n">
        <v>1032.45</v>
      </c>
      <c r="Q329">
        <f>ROUND(L329*M329*N329/1000+O329+P329,2)</f>
        <v/>
      </c>
      <c r="R329" t="inlineStr">
        <is>
          <t>Yes</t>
        </is>
      </c>
      <c r="S329">
        <f>IF(OR(E329="",D329=""),"",MAX(0,E329-D329))</f>
        <v/>
      </c>
      <c r="T329" t="inlineStr">
        <is>
          <t>Yes</t>
        </is>
      </c>
      <c r="U329" t="n">
        <v>43</v>
      </c>
      <c r="V329" t="inlineStr">
        <is>
          <t>Paid</t>
        </is>
      </c>
      <c r="W329" t="n">
        <v>1</v>
      </c>
      <c r="X329" t="inlineStr">
        <is>
          <t>Vehicle Breakdown</t>
        </is>
      </c>
    </row>
    <row r="330">
      <c r="A330" t="inlineStr">
        <is>
          <t>ORD-2026-00329</t>
        </is>
      </c>
      <c r="B330" t="inlineStr">
        <is>
          <t>CUST-0217</t>
        </is>
      </c>
      <c r="C330" s="3" t="n">
        <v>46059</v>
      </c>
      <c r="D330" s="3" t="n">
        <v>46066</v>
      </c>
      <c r="E330" s="3" t="n">
        <v>46066</v>
      </c>
      <c r="F330" t="inlineStr">
        <is>
          <t>Kolkata</t>
        </is>
      </c>
      <c r="G330" t="inlineStr">
        <is>
          <t>Chennai</t>
        </is>
      </c>
      <c r="H330" t="inlineStr">
        <is>
          <t>Aramex</t>
        </is>
      </c>
      <c r="I330" t="inlineStr">
        <is>
          <t>Truck</t>
        </is>
      </c>
      <c r="J330" t="inlineStr">
        <is>
          <t>Low</t>
        </is>
      </c>
      <c r="K330" t="inlineStr">
        <is>
          <t>Delivered</t>
        </is>
      </c>
      <c r="L330" t="n">
        <v>412.93</v>
      </c>
      <c r="M330" t="n">
        <v>1002</v>
      </c>
      <c r="N330" t="n">
        <v>60.76</v>
      </c>
      <c r="O330" t="n">
        <v>815.58</v>
      </c>
      <c r="P330" t="n">
        <v>167.95</v>
      </c>
      <c r="Q330">
        <f>ROUND(L330*M330*N330/1000+O330+P330,2)</f>
        <v/>
      </c>
      <c r="R330" t="inlineStr">
        <is>
          <t>Yes</t>
        </is>
      </c>
      <c r="S330">
        <f>IF(OR(E330="",D330=""),"",MAX(0,E330-D330))</f>
        <v/>
      </c>
      <c r="T330" t="inlineStr">
        <is>
          <t>No</t>
        </is>
      </c>
      <c r="U330" t="n">
        <v>11</v>
      </c>
      <c r="V330" t="inlineStr">
        <is>
          <t>Paid</t>
        </is>
      </c>
      <c r="W330" t="n">
        <v>1</v>
      </c>
      <c r="X330" t="inlineStr">
        <is>
          <t>Address Error</t>
        </is>
      </c>
    </row>
    <row r="331">
      <c r="A331" t="inlineStr">
        <is>
          <t>ORD-2026-00330</t>
        </is>
      </c>
      <c r="B331" t="inlineStr">
        <is>
          <t>CUST-0106</t>
        </is>
      </c>
      <c r="C331" s="3" t="n">
        <v>46045</v>
      </c>
      <c r="D331" s="3" t="n">
        <v>46050</v>
      </c>
      <c r="E331" s="3" t="n">
        <v>46050</v>
      </c>
      <c r="F331" t="inlineStr">
        <is>
          <t>Bengaluru</t>
        </is>
      </c>
      <c r="G331" t="inlineStr">
        <is>
          <t>Delhi</t>
        </is>
      </c>
      <c r="H331" t="inlineStr">
        <is>
          <t>DTDC</t>
        </is>
      </c>
      <c r="I331" t="inlineStr">
        <is>
          <t>Van</t>
        </is>
      </c>
      <c r="J331" t="inlineStr">
        <is>
          <t>Normal</t>
        </is>
      </c>
      <c r="K331" t="inlineStr">
        <is>
          <t>Delivered</t>
        </is>
      </c>
      <c r="L331" t="n">
        <v>1931.52</v>
      </c>
      <c r="M331" t="n">
        <v>524</v>
      </c>
      <c r="N331" t="n">
        <v>19.75</v>
      </c>
      <c r="O331" t="n">
        <v>1367.06</v>
      </c>
      <c r="P331" t="n">
        <v>794.17</v>
      </c>
      <c r="Q331">
        <f>ROUND(L331*M331*N331/1000+O331+P331,2)</f>
        <v/>
      </c>
      <c r="R331" t="inlineStr">
        <is>
          <t>Yes</t>
        </is>
      </c>
      <c r="S331">
        <f>IF(OR(E331="",D331=""),"",MAX(0,E331-D331))</f>
        <v/>
      </c>
      <c r="T331" t="inlineStr">
        <is>
          <t>No</t>
        </is>
      </c>
      <c r="U331" t="n">
        <v>79</v>
      </c>
      <c r="V331" t="inlineStr">
        <is>
          <t>Paid</t>
        </is>
      </c>
      <c r="W331" t="n">
        <v>3</v>
      </c>
      <c r="X331" t="inlineStr">
        <is>
          <t>Vehicle Breakdown</t>
        </is>
      </c>
    </row>
    <row r="332">
      <c r="A332" t="inlineStr">
        <is>
          <t>ORD-2026-00331</t>
        </is>
      </c>
      <c r="B332" t="inlineStr">
        <is>
          <t>CUST-0130</t>
        </is>
      </c>
      <c r="C332" s="3" t="n">
        <v>46130</v>
      </c>
      <c r="D332" s="3" t="n">
        <v>46131</v>
      </c>
      <c r="E332" s="3" t="n">
        <v>46132</v>
      </c>
      <c r="F332" t="inlineStr">
        <is>
          <t>Bengaluru</t>
        </is>
      </c>
      <c r="G332" t="inlineStr">
        <is>
          <t>Jaipur</t>
        </is>
      </c>
      <c r="H332" t="inlineStr">
        <is>
          <t>Aramex</t>
        </is>
      </c>
      <c r="I332" t="inlineStr">
        <is>
          <t>Truck</t>
        </is>
      </c>
      <c r="J332" t="inlineStr">
        <is>
          <t>High</t>
        </is>
      </c>
      <c r="K332" t="inlineStr">
        <is>
          <t>Delivered</t>
        </is>
      </c>
      <c r="L332" t="n">
        <v>2466.52</v>
      </c>
      <c r="M332" t="n">
        <v>396</v>
      </c>
      <c r="N332" t="n">
        <v>43.28</v>
      </c>
      <c r="O332" t="n">
        <v>3456.44</v>
      </c>
      <c r="P332" t="n">
        <v>1480.44</v>
      </c>
      <c r="Q332">
        <f>ROUND(L332*M332*N332/1000+O332+P332,2)</f>
        <v/>
      </c>
      <c r="R332" t="inlineStr">
        <is>
          <t>No</t>
        </is>
      </c>
      <c r="S332">
        <f>IF(OR(E332="",D332=""),"",MAX(0,E332-D332))</f>
        <v/>
      </c>
      <c r="T332" t="inlineStr">
        <is>
          <t>Yes</t>
        </is>
      </c>
      <c r="U332" t="n">
        <v>25</v>
      </c>
      <c r="V332" t="inlineStr">
        <is>
          <t>Paid</t>
        </is>
      </c>
      <c r="W332" t="n">
        <v>2</v>
      </c>
      <c r="X332" t="inlineStr">
        <is>
          <t>Damaged Package</t>
        </is>
      </c>
    </row>
    <row r="333">
      <c r="A333" t="inlineStr">
        <is>
          <t>ORD-2026-00332</t>
        </is>
      </c>
      <c r="B333" t="inlineStr">
        <is>
          <t>CUST-0086</t>
        </is>
      </c>
      <c r="C333" s="3" t="n">
        <v>46239</v>
      </c>
      <c r="D333" s="3" t="n">
        <v>46247</v>
      </c>
      <c r="E333" s="3" t="n">
        <v>46247</v>
      </c>
      <c r="F333" t="inlineStr">
        <is>
          <t>Kolkata</t>
        </is>
      </c>
      <c r="G333" t="inlineStr">
        <is>
          <t>Jaipur</t>
        </is>
      </c>
      <c r="H333" t="inlineStr">
        <is>
          <t>BlueDart</t>
        </is>
      </c>
      <c r="I333" t="inlineStr">
        <is>
          <t>Van</t>
        </is>
      </c>
      <c r="J333" t="inlineStr">
        <is>
          <t>Low</t>
        </is>
      </c>
      <c r="K333" t="inlineStr">
        <is>
          <t>Delivered</t>
        </is>
      </c>
      <c r="L333" t="n">
        <v>2306.72</v>
      </c>
      <c r="M333" t="n">
        <v>226</v>
      </c>
      <c r="N333" t="n">
        <v>44.76</v>
      </c>
      <c r="O333" t="n">
        <v>1099.13</v>
      </c>
      <c r="P333" t="n">
        <v>663.3099999999999</v>
      </c>
      <c r="Q333">
        <f>ROUND(L333*M333*N333/1000+O333+P333,2)</f>
        <v/>
      </c>
      <c r="R333" t="inlineStr">
        <is>
          <t>Yes</t>
        </is>
      </c>
      <c r="S333">
        <f>IF(OR(E333="",D333=""),"",MAX(0,E333-D333))</f>
        <v/>
      </c>
      <c r="T333" t="inlineStr">
        <is>
          <t>Yes</t>
        </is>
      </c>
      <c r="U333" t="n">
        <v>21</v>
      </c>
      <c r="V333" t="inlineStr">
        <is>
          <t>Paid</t>
        </is>
      </c>
      <c r="W333" t="n">
        <v>4</v>
      </c>
      <c r="X333" t="inlineStr">
        <is>
          <t>Customs</t>
        </is>
      </c>
    </row>
    <row r="334">
      <c r="A334" t="inlineStr">
        <is>
          <t>ORD-2026-00333</t>
        </is>
      </c>
      <c r="B334" t="inlineStr">
        <is>
          <t>CUST-0059</t>
        </is>
      </c>
      <c r="C334" s="3" t="n">
        <v>46052</v>
      </c>
      <c r="D334" s="3" t="n">
        <v>46054</v>
      </c>
      <c r="E334" s="3" t="n">
        <v>46057</v>
      </c>
      <c r="F334" t="inlineStr">
        <is>
          <t>Mumbai</t>
        </is>
      </c>
      <c r="G334" t="inlineStr">
        <is>
          <t>Hyderabad</t>
        </is>
      </c>
      <c r="H334" t="inlineStr">
        <is>
          <t>DHL</t>
        </is>
      </c>
      <c r="I334" t="inlineStr">
        <is>
          <t>Van</t>
        </is>
      </c>
      <c r="J334" t="inlineStr">
        <is>
          <t>Normal</t>
        </is>
      </c>
      <c r="K334" t="inlineStr">
        <is>
          <t>Delivered</t>
        </is>
      </c>
      <c r="L334" t="n">
        <v>1481.97</v>
      </c>
      <c r="M334" t="n">
        <v>1340</v>
      </c>
      <c r="N334" t="n">
        <v>31.89</v>
      </c>
      <c r="O334" t="n">
        <v>4738.56</v>
      </c>
      <c r="P334" t="n">
        <v>1349.59</v>
      </c>
      <c r="Q334">
        <f>ROUND(L334*M334*N334/1000+O334+P334,2)</f>
        <v/>
      </c>
      <c r="R334" t="inlineStr">
        <is>
          <t>No</t>
        </is>
      </c>
      <c r="S334">
        <f>IF(OR(E334="",D334=""),"",MAX(0,E334-D334))</f>
        <v/>
      </c>
      <c r="T334" t="inlineStr">
        <is>
          <t>No</t>
        </is>
      </c>
      <c r="U334" t="n">
        <v>26</v>
      </c>
      <c r="V334" t="inlineStr">
        <is>
          <t>Failed</t>
        </is>
      </c>
      <c r="W334" t="n">
        <v>2</v>
      </c>
      <c r="X334" t="inlineStr">
        <is>
          <t>None</t>
        </is>
      </c>
    </row>
    <row r="335">
      <c r="A335" t="inlineStr">
        <is>
          <t>ORD-2026-00334</t>
        </is>
      </c>
      <c r="B335" t="inlineStr">
        <is>
          <t>CUST-0185</t>
        </is>
      </c>
      <c r="C335" s="3" t="n">
        <v>46143</v>
      </c>
      <c r="D335" s="3" t="n">
        <v>46151</v>
      </c>
      <c r="E335" s="3" t="n">
        <v>46151</v>
      </c>
      <c r="F335" t="inlineStr">
        <is>
          <t>Bengaluru</t>
        </is>
      </c>
      <c r="G335" t="inlineStr">
        <is>
          <t>Hyderabad</t>
        </is>
      </c>
      <c r="H335" t="inlineStr">
        <is>
          <t>FedEx</t>
        </is>
      </c>
      <c r="I335" t="inlineStr">
        <is>
          <t>Truck</t>
        </is>
      </c>
      <c r="J335" t="inlineStr">
        <is>
          <t>High</t>
        </is>
      </c>
      <c r="K335" t="inlineStr">
        <is>
          <t>Delivered</t>
        </is>
      </c>
      <c r="L335" t="n">
        <v>540.8</v>
      </c>
      <c r="M335" t="n">
        <v>2501</v>
      </c>
      <c r="N335" t="n">
        <v>33.93</v>
      </c>
      <c r="O335" t="n">
        <v>2443.27</v>
      </c>
      <c r="P335" t="n">
        <v>221.88</v>
      </c>
      <c r="Q335">
        <f>ROUND(L335*M335*N335/1000+O335+P335,2)</f>
        <v/>
      </c>
      <c r="R335" t="inlineStr">
        <is>
          <t>Yes</t>
        </is>
      </c>
      <c r="S335">
        <f>IF(OR(E335="",D335=""),"",MAX(0,E335-D335))</f>
        <v/>
      </c>
      <c r="T335" t="inlineStr">
        <is>
          <t>Yes</t>
        </is>
      </c>
      <c r="U335" t="n">
        <v>5</v>
      </c>
      <c r="V335" t="inlineStr">
        <is>
          <t>Paid</t>
        </is>
      </c>
      <c r="W335" t="n">
        <v>3</v>
      </c>
      <c r="X335" t="inlineStr">
        <is>
          <t>Address Error</t>
        </is>
      </c>
    </row>
    <row r="336">
      <c r="A336" t="inlineStr">
        <is>
          <t>ORD-2026-00335</t>
        </is>
      </c>
      <c r="B336" t="inlineStr">
        <is>
          <t>CUST-0157</t>
        </is>
      </c>
      <c r="C336" s="3" t="n">
        <v>46051</v>
      </c>
      <c r="D336" s="3" t="n">
        <v>46059</v>
      </c>
      <c r="E336" s="3" t="n">
        <v>46059</v>
      </c>
      <c r="F336" t="inlineStr">
        <is>
          <t>Delhi</t>
        </is>
      </c>
      <c r="G336" t="inlineStr">
        <is>
          <t>Kolkata</t>
        </is>
      </c>
      <c r="H336" t="inlineStr">
        <is>
          <t>DTDC</t>
        </is>
      </c>
      <c r="I336" t="inlineStr">
        <is>
          <t>Truck</t>
        </is>
      </c>
      <c r="J336" t="inlineStr">
        <is>
          <t>Low</t>
        </is>
      </c>
      <c r="K336" t="inlineStr">
        <is>
          <t>Delivered</t>
        </is>
      </c>
      <c r="L336" t="n">
        <v>859.27</v>
      </c>
      <c r="M336" t="n">
        <v>1213</v>
      </c>
      <c r="N336" t="n">
        <v>42.41</v>
      </c>
      <c r="O336" t="n">
        <v>3420.17</v>
      </c>
      <c r="P336" t="n">
        <v>964.24</v>
      </c>
      <c r="Q336">
        <f>ROUND(L336*M336*N336/1000+O336+P336,2)</f>
        <v/>
      </c>
      <c r="R336" t="inlineStr">
        <is>
          <t>Yes</t>
        </is>
      </c>
      <c r="S336">
        <f>IF(OR(E336="",D336=""),"",MAX(0,E336-D336))</f>
        <v/>
      </c>
      <c r="T336" t="inlineStr">
        <is>
          <t>No</t>
        </is>
      </c>
      <c r="U336" t="n">
        <v>67</v>
      </c>
      <c r="V336" t="inlineStr">
        <is>
          <t>Failed</t>
        </is>
      </c>
      <c r="W336" t="n">
        <v>2</v>
      </c>
      <c r="X336" t="inlineStr">
        <is>
          <t>Customs</t>
        </is>
      </c>
    </row>
    <row r="337">
      <c r="A337" t="inlineStr">
        <is>
          <t>ORD-2026-00336</t>
        </is>
      </c>
      <c r="B337" t="inlineStr">
        <is>
          <t>CUST-0238</t>
        </is>
      </c>
      <c r="C337" s="3" t="n">
        <v>46144</v>
      </c>
      <c r="D337" s="3" t="n">
        <v>46152</v>
      </c>
      <c r="E337" s="3" t="n">
        <v>46152</v>
      </c>
      <c r="F337" t="inlineStr">
        <is>
          <t>Kolkata</t>
        </is>
      </c>
      <c r="G337" t="inlineStr">
        <is>
          <t>Delhi</t>
        </is>
      </c>
      <c r="H337" t="inlineStr">
        <is>
          <t>DTDC</t>
        </is>
      </c>
      <c r="I337" t="inlineStr">
        <is>
          <t>Van</t>
        </is>
      </c>
      <c r="J337" t="inlineStr">
        <is>
          <t>Critical</t>
        </is>
      </c>
      <c r="K337" t="inlineStr">
        <is>
          <t>Delivered</t>
        </is>
      </c>
      <c r="L337" t="n">
        <v>1840.58</v>
      </c>
      <c r="M337" t="n">
        <v>1015</v>
      </c>
      <c r="N337" t="n">
        <v>22.13</v>
      </c>
      <c r="O337" t="n">
        <v>2317.48</v>
      </c>
      <c r="P337" t="n">
        <v>349.16</v>
      </c>
      <c r="Q337">
        <f>ROUND(L337*M337*N337/1000+O337+P337,2)</f>
        <v/>
      </c>
      <c r="R337" t="inlineStr">
        <is>
          <t>Yes</t>
        </is>
      </c>
      <c r="S337">
        <f>IF(OR(E337="",D337=""),"",MAX(0,E337-D337))</f>
        <v/>
      </c>
      <c r="T337" t="inlineStr">
        <is>
          <t>Yes</t>
        </is>
      </c>
      <c r="U337" t="n">
        <v>6</v>
      </c>
      <c r="V337" t="inlineStr">
        <is>
          <t>Failed</t>
        </is>
      </c>
      <c r="W337" t="n">
        <v>5</v>
      </c>
      <c r="X337" t="inlineStr">
        <is>
          <t>None</t>
        </is>
      </c>
    </row>
    <row r="338">
      <c r="A338" t="inlineStr">
        <is>
          <t>ORD-2026-00337</t>
        </is>
      </c>
      <c r="B338" t="inlineStr">
        <is>
          <t>CUST-0178</t>
        </is>
      </c>
      <c r="C338" s="3" t="n">
        <v>46131</v>
      </c>
      <c r="D338" s="3" t="n">
        <v>46138</v>
      </c>
      <c r="E338" s="3" t="n">
        <v>46138</v>
      </c>
      <c r="F338" t="inlineStr">
        <is>
          <t>Chennai</t>
        </is>
      </c>
      <c r="G338" t="inlineStr">
        <is>
          <t>Bengaluru</t>
        </is>
      </c>
      <c r="H338" t="inlineStr">
        <is>
          <t>DHL</t>
        </is>
      </c>
      <c r="I338" t="inlineStr">
        <is>
          <t>Refrigerated Truck</t>
        </is>
      </c>
      <c r="J338" t="inlineStr">
        <is>
          <t>High</t>
        </is>
      </c>
      <c r="K338" t="inlineStr">
        <is>
          <t>Delivered</t>
        </is>
      </c>
      <c r="L338" t="n">
        <v>2053.32</v>
      </c>
      <c r="M338" t="n">
        <v>1858</v>
      </c>
      <c r="N338" t="n">
        <v>36.23</v>
      </c>
      <c r="O338" t="n">
        <v>4835.69</v>
      </c>
      <c r="P338" t="n">
        <v>1134.56</v>
      </c>
      <c r="Q338">
        <f>ROUND(L338*M338*N338/1000+O338+P338,2)</f>
        <v/>
      </c>
      <c r="R338" t="inlineStr">
        <is>
          <t>Yes</t>
        </is>
      </c>
      <c r="S338">
        <f>IF(OR(E338="",D338=""),"",MAX(0,E338-D338))</f>
        <v/>
      </c>
      <c r="T338" t="inlineStr">
        <is>
          <t>Yes</t>
        </is>
      </c>
      <c r="U338" t="n">
        <v>12</v>
      </c>
      <c r="V338" t="inlineStr">
        <is>
          <t>Paid</t>
        </is>
      </c>
      <c r="W338" t="n">
        <v>4</v>
      </c>
      <c r="X338" t="inlineStr">
        <is>
          <t>Damaged Package</t>
        </is>
      </c>
    </row>
    <row r="339">
      <c r="A339" t="inlineStr">
        <is>
          <t>ORD-2026-00338</t>
        </is>
      </c>
      <c r="B339" t="inlineStr">
        <is>
          <t>CUST-0181</t>
        </is>
      </c>
      <c r="C339" s="3" t="n">
        <v>46101</v>
      </c>
      <c r="D339" s="3" t="n">
        <v>46104</v>
      </c>
      <c r="E339" s="3" t="n">
        <v>46105</v>
      </c>
      <c r="F339" t="inlineStr">
        <is>
          <t>Chennai</t>
        </is>
      </c>
      <c r="G339" t="inlineStr">
        <is>
          <t>Delhi</t>
        </is>
      </c>
      <c r="H339" t="inlineStr">
        <is>
          <t>Aramex</t>
        </is>
      </c>
      <c r="I339" t="inlineStr">
        <is>
          <t>Refrigerated Truck</t>
        </is>
      </c>
      <c r="J339" t="inlineStr">
        <is>
          <t>Critical</t>
        </is>
      </c>
      <c r="K339" t="inlineStr">
        <is>
          <t>Delivered</t>
        </is>
      </c>
      <c r="L339" t="n">
        <v>1868.34</v>
      </c>
      <c r="M339" t="n">
        <v>104</v>
      </c>
      <c r="N339" t="n">
        <v>63.66</v>
      </c>
      <c r="O339" t="n">
        <v>715.28</v>
      </c>
      <c r="P339" t="n">
        <v>225.16</v>
      </c>
      <c r="Q339">
        <f>ROUND(L339*M339*N339/1000+O339+P339,2)</f>
        <v/>
      </c>
      <c r="R339" t="inlineStr">
        <is>
          <t>No</t>
        </is>
      </c>
      <c r="S339">
        <f>IF(OR(E339="",D339=""),"",MAX(0,E339-D339))</f>
        <v/>
      </c>
      <c r="T339" t="inlineStr">
        <is>
          <t>Yes</t>
        </is>
      </c>
      <c r="U339" t="n">
        <v>10</v>
      </c>
      <c r="V339" t="inlineStr">
        <is>
          <t>Failed</t>
        </is>
      </c>
      <c r="W339" t="n">
        <v>3</v>
      </c>
      <c r="X339" t="inlineStr">
        <is>
          <t>Customs</t>
        </is>
      </c>
    </row>
    <row r="340">
      <c r="A340" t="inlineStr">
        <is>
          <t>ORD-2026-00339</t>
        </is>
      </c>
      <c r="B340" t="inlineStr">
        <is>
          <t>CUST-0159</t>
        </is>
      </c>
      <c r="C340" s="3" t="n">
        <v>46031</v>
      </c>
      <c r="D340" s="3" t="n">
        <v>46036</v>
      </c>
      <c r="E340" s="3" t="n">
        <v>46036</v>
      </c>
      <c r="F340" t="inlineStr">
        <is>
          <t>Hyderabad</t>
        </is>
      </c>
      <c r="G340" t="inlineStr">
        <is>
          <t>Ahmedabad</t>
        </is>
      </c>
      <c r="H340" t="inlineStr">
        <is>
          <t>DTDC</t>
        </is>
      </c>
      <c r="I340" t="inlineStr">
        <is>
          <t>Refrigerated Truck</t>
        </is>
      </c>
      <c r="J340" t="inlineStr">
        <is>
          <t>Low</t>
        </is>
      </c>
      <c r="K340" t="inlineStr">
        <is>
          <t>Delivered</t>
        </is>
      </c>
      <c r="L340" t="n">
        <v>2365.27</v>
      </c>
      <c r="M340" t="n">
        <v>2226</v>
      </c>
      <c r="N340" t="n">
        <v>40.79</v>
      </c>
      <c r="O340" t="n">
        <v>9112.139999999999</v>
      </c>
      <c r="P340" t="n">
        <v>1033.3</v>
      </c>
      <c r="Q340">
        <f>ROUND(L340*M340*N340/1000+O340+P340,2)</f>
        <v/>
      </c>
      <c r="R340" t="inlineStr">
        <is>
          <t>Yes</t>
        </is>
      </c>
      <c r="S340">
        <f>IF(OR(E340="",D340=""),"",MAX(0,E340-D340))</f>
        <v/>
      </c>
      <c r="T340" t="inlineStr">
        <is>
          <t>Yes</t>
        </is>
      </c>
      <c r="U340" t="n">
        <v>50</v>
      </c>
      <c r="V340" t="inlineStr">
        <is>
          <t>COD</t>
        </is>
      </c>
      <c r="W340" t="n">
        <v>4</v>
      </c>
      <c r="X340" t="inlineStr">
        <is>
          <t>Customs</t>
        </is>
      </c>
    </row>
    <row r="341">
      <c r="A341" t="inlineStr">
        <is>
          <t>ORD-2026-00340</t>
        </is>
      </c>
      <c r="B341" t="inlineStr">
        <is>
          <t>CUST-0062</t>
        </is>
      </c>
      <c r="C341" s="3" t="n">
        <v>46033</v>
      </c>
      <c r="D341" s="3" t="n">
        <v>46039</v>
      </c>
      <c r="E341" s="3" t="n">
        <v>46039</v>
      </c>
      <c r="F341" t="inlineStr">
        <is>
          <t>Surat</t>
        </is>
      </c>
      <c r="G341" t="inlineStr">
        <is>
          <t>Mumbai</t>
        </is>
      </c>
      <c r="H341" t="inlineStr">
        <is>
          <t>Maersk</t>
        </is>
      </c>
      <c r="I341" t="inlineStr">
        <is>
          <t>Container</t>
        </is>
      </c>
      <c r="J341" t="inlineStr">
        <is>
          <t>Normal</t>
        </is>
      </c>
      <c r="K341" t="inlineStr">
        <is>
          <t>Delivered</t>
        </is>
      </c>
      <c r="L341" t="n">
        <v>1762.33</v>
      </c>
      <c r="M341" t="n">
        <v>2301</v>
      </c>
      <c r="N341" t="n">
        <v>48.43</v>
      </c>
      <c r="O341" t="n">
        <v>8303.889999999999</v>
      </c>
      <c r="P341" t="n">
        <v>1472.25</v>
      </c>
      <c r="Q341">
        <f>ROUND(L341*M341*N341/1000+O341+P341,2)</f>
        <v/>
      </c>
      <c r="R341" t="inlineStr">
        <is>
          <t>Yes</t>
        </is>
      </c>
      <c r="S341">
        <f>IF(OR(E341="",D341=""),"",MAX(0,E341-D341))</f>
        <v/>
      </c>
      <c r="T341" t="inlineStr">
        <is>
          <t>Yes</t>
        </is>
      </c>
      <c r="U341" t="n">
        <v>42</v>
      </c>
      <c r="V341" t="inlineStr">
        <is>
          <t>COD</t>
        </is>
      </c>
      <c r="W341" t="n">
        <v>3</v>
      </c>
      <c r="X341" t="inlineStr">
        <is>
          <t>Customs</t>
        </is>
      </c>
    </row>
    <row r="342">
      <c r="A342" t="inlineStr">
        <is>
          <t>ORD-2026-00341</t>
        </is>
      </c>
      <c r="B342" t="inlineStr">
        <is>
          <t>CUST-0212</t>
        </is>
      </c>
      <c r="C342" s="3" t="n">
        <v>46197</v>
      </c>
      <c r="D342" s="3" t="n">
        <v>46204</v>
      </c>
      <c r="E342" s="3" t="n">
        <v>46208</v>
      </c>
      <c r="F342" t="inlineStr">
        <is>
          <t>Surat</t>
        </is>
      </c>
      <c r="G342" t="inlineStr">
        <is>
          <t>Pune</t>
        </is>
      </c>
      <c r="H342" t="inlineStr">
        <is>
          <t>Delhivery</t>
        </is>
      </c>
      <c r="I342" t="inlineStr">
        <is>
          <t>Bike</t>
        </is>
      </c>
      <c r="J342" t="inlineStr">
        <is>
          <t>High</t>
        </is>
      </c>
      <c r="K342" t="inlineStr">
        <is>
          <t>Delayed</t>
        </is>
      </c>
      <c r="L342" t="n">
        <v>1215.82</v>
      </c>
      <c r="M342" t="n">
        <v>2162</v>
      </c>
      <c r="N342" t="n">
        <v>55.28</v>
      </c>
      <c r="O342" t="n">
        <v>8458.42</v>
      </c>
      <c r="P342" t="n">
        <v>807.22</v>
      </c>
      <c r="Q342">
        <f>ROUND(L342*M342*N342/1000+O342+P342,2)</f>
        <v/>
      </c>
      <c r="R342" t="inlineStr">
        <is>
          <t>No</t>
        </is>
      </c>
      <c r="S342">
        <f>IF(OR(E342="",D342=""),"",MAX(0,E342-D342))</f>
        <v/>
      </c>
      <c r="T342" t="inlineStr">
        <is>
          <t>Yes</t>
        </is>
      </c>
      <c r="U342" t="n">
        <v>25</v>
      </c>
      <c r="V342" t="inlineStr">
        <is>
          <t>Failed</t>
        </is>
      </c>
      <c r="W342" t="n">
        <v>1</v>
      </c>
      <c r="X342" t="inlineStr">
        <is>
          <t>None</t>
        </is>
      </c>
    </row>
    <row r="343">
      <c r="A343" t="inlineStr">
        <is>
          <t>ORD-2026-00342</t>
        </is>
      </c>
      <c r="B343" t="inlineStr">
        <is>
          <t>CUST-0053</t>
        </is>
      </c>
      <c r="C343" s="3" t="n">
        <v>46123</v>
      </c>
      <c r="D343" s="3" t="n">
        <v>46126</v>
      </c>
      <c r="E343" s="3" t="n">
        <v>46126</v>
      </c>
      <c r="F343" t="inlineStr">
        <is>
          <t>Surat</t>
        </is>
      </c>
      <c r="G343" t="inlineStr">
        <is>
          <t>Ahmedabad</t>
        </is>
      </c>
      <c r="H343" t="inlineStr">
        <is>
          <t>FedEx</t>
        </is>
      </c>
      <c r="I343" t="inlineStr">
        <is>
          <t>Container</t>
        </is>
      </c>
      <c r="J343" t="inlineStr">
        <is>
          <t>Normal</t>
        </is>
      </c>
      <c r="K343" t="inlineStr">
        <is>
          <t>Delivered</t>
        </is>
      </c>
      <c r="L343" t="n">
        <v>273.86</v>
      </c>
      <c r="M343" t="n">
        <v>1135</v>
      </c>
      <c r="N343" t="n">
        <v>14.39</v>
      </c>
      <c r="O343" t="n">
        <v>173.89</v>
      </c>
      <c r="P343" t="n">
        <v>242.74</v>
      </c>
      <c r="Q343">
        <f>ROUND(L343*M343*N343/1000+O343+P343,2)</f>
        <v/>
      </c>
      <c r="R343" t="inlineStr">
        <is>
          <t>Yes</t>
        </is>
      </c>
      <c r="S343">
        <f>IF(OR(E343="",D343=""),"",MAX(0,E343-D343))</f>
        <v/>
      </c>
      <c r="T343" t="inlineStr">
        <is>
          <t>No</t>
        </is>
      </c>
      <c r="U343" t="n">
        <v>45</v>
      </c>
      <c r="V343" t="inlineStr">
        <is>
          <t>Failed</t>
        </is>
      </c>
      <c r="W343" t="n">
        <v>4</v>
      </c>
      <c r="X343" t="inlineStr">
        <is>
          <t>Damaged Package</t>
        </is>
      </c>
    </row>
    <row r="344">
      <c r="A344" t="inlineStr">
        <is>
          <t>ORD-2026-00343</t>
        </is>
      </c>
      <c r="B344" t="inlineStr">
        <is>
          <t>CUST-0166</t>
        </is>
      </c>
      <c r="C344" s="3" t="n">
        <v>46188</v>
      </c>
      <c r="D344" s="3" t="n">
        <v>46189</v>
      </c>
      <c r="E344" s="3" t="n"/>
      <c r="F344" t="inlineStr">
        <is>
          <t>Hyderabad</t>
        </is>
      </c>
      <c r="G344" t="inlineStr">
        <is>
          <t>Jaipur</t>
        </is>
      </c>
      <c r="H344" t="inlineStr">
        <is>
          <t>DTDC</t>
        </is>
      </c>
      <c r="I344" t="inlineStr">
        <is>
          <t>Bike</t>
        </is>
      </c>
      <c r="J344" t="inlineStr">
        <is>
          <t>Critical</t>
        </is>
      </c>
      <c r="K344" t="inlineStr">
        <is>
          <t>Booked</t>
        </is>
      </c>
      <c r="L344" t="n">
        <v>2087.45</v>
      </c>
      <c r="M344" t="n">
        <v>2133</v>
      </c>
      <c r="N344" t="n">
        <v>44.75</v>
      </c>
      <c r="O344" t="n">
        <v>10899.32</v>
      </c>
      <c r="P344" t="n">
        <v>527.33</v>
      </c>
      <c r="Q344">
        <f>ROUND(L344*M344*N344/1000+O344+P344,2)</f>
        <v/>
      </c>
      <c r="R344" t="inlineStr">
        <is>
          <t>No</t>
        </is>
      </c>
      <c r="S344">
        <f>IF(OR(E344="",D344=""),"",MAX(0,E344-D344))</f>
        <v/>
      </c>
      <c r="T344" t="inlineStr">
        <is>
          <t>No</t>
        </is>
      </c>
      <c r="U344" t="n">
        <v>39</v>
      </c>
      <c r="V344" t="inlineStr">
        <is>
          <t>Pending</t>
        </is>
      </c>
      <c r="W344" t="n">
        <v>3</v>
      </c>
      <c r="X344" t="inlineStr">
        <is>
          <t>Address Error</t>
        </is>
      </c>
    </row>
    <row r="345">
      <c r="A345" t="inlineStr">
        <is>
          <t>ORD-2026-00344</t>
        </is>
      </c>
      <c r="B345" t="inlineStr">
        <is>
          <t>CUST-0159</t>
        </is>
      </c>
      <c r="C345" s="3" t="n">
        <v>46225</v>
      </c>
      <c r="D345" s="3" t="n">
        <v>46230</v>
      </c>
      <c r="E345" s="3" t="n">
        <v>46230</v>
      </c>
      <c r="F345" t="inlineStr">
        <is>
          <t>Delhi</t>
        </is>
      </c>
      <c r="G345" t="inlineStr">
        <is>
          <t>Surat</t>
        </is>
      </c>
      <c r="H345" t="inlineStr">
        <is>
          <t>FedEx</t>
        </is>
      </c>
      <c r="I345" t="inlineStr">
        <is>
          <t>Truck</t>
        </is>
      </c>
      <c r="J345" t="inlineStr">
        <is>
          <t>Normal</t>
        </is>
      </c>
      <c r="K345" t="inlineStr">
        <is>
          <t>Delivered</t>
        </is>
      </c>
      <c r="L345" t="n">
        <v>720.72</v>
      </c>
      <c r="M345" t="n">
        <v>198</v>
      </c>
      <c r="N345" t="n">
        <v>16.46</v>
      </c>
      <c r="O345" t="n">
        <v>110.55</v>
      </c>
      <c r="P345" t="n">
        <v>1435.2</v>
      </c>
      <c r="Q345">
        <f>ROUND(L345*M345*N345/1000+O345+P345,2)</f>
        <v/>
      </c>
      <c r="R345" t="inlineStr">
        <is>
          <t>Yes</t>
        </is>
      </c>
      <c r="S345">
        <f>IF(OR(E345="",D345=""),"",MAX(0,E345-D345))</f>
        <v/>
      </c>
      <c r="T345" t="inlineStr">
        <is>
          <t>Yes</t>
        </is>
      </c>
      <c r="U345" t="n">
        <v>21</v>
      </c>
      <c r="V345" t="inlineStr">
        <is>
          <t>Pending</t>
        </is>
      </c>
      <c r="W345" t="n">
        <v>1</v>
      </c>
      <c r="X345" t="inlineStr">
        <is>
          <t>None</t>
        </is>
      </c>
    </row>
    <row r="346">
      <c r="A346" t="inlineStr">
        <is>
          <t>ORD-2026-00345</t>
        </is>
      </c>
      <c r="B346" t="inlineStr">
        <is>
          <t>CUST-0115</t>
        </is>
      </c>
      <c r="C346" s="3" t="n">
        <v>46104</v>
      </c>
      <c r="D346" s="3" t="n">
        <v>46107</v>
      </c>
      <c r="E346" s="3" t="n">
        <v>46107</v>
      </c>
      <c r="F346" t="inlineStr">
        <is>
          <t>Surat</t>
        </is>
      </c>
      <c r="G346" t="inlineStr">
        <is>
          <t>Delhi</t>
        </is>
      </c>
      <c r="H346" t="inlineStr">
        <is>
          <t>DTDC</t>
        </is>
      </c>
      <c r="I346" t="inlineStr">
        <is>
          <t>Refrigerated Truck</t>
        </is>
      </c>
      <c r="J346" t="inlineStr">
        <is>
          <t>Low</t>
        </is>
      </c>
      <c r="K346" t="inlineStr">
        <is>
          <t>Delivered</t>
        </is>
      </c>
      <c r="L346" t="n">
        <v>513.29</v>
      </c>
      <c r="M346" t="n">
        <v>147</v>
      </c>
      <c r="N346" t="n">
        <v>45.94</v>
      </c>
      <c r="O346" t="n">
        <v>307.4</v>
      </c>
      <c r="P346" t="n">
        <v>238.96</v>
      </c>
      <c r="Q346">
        <f>ROUND(L346*M346*N346/1000+O346+P346,2)</f>
        <v/>
      </c>
      <c r="R346" t="inlineStr">
        <is>
          <t>Yes</t>
        </is>
      </c>
      <c r="S346">
        <f>IF(OR(E346="",D346=""),"",MAX(0,E346-D346))</f>
        <v/>
      </c>
      <c r="T346" t="inlineStr">
        <is>
          <t>Yes</t>
        </is>
      </c>
      <c r="U346" t="n">
        <v>52</v>
      </c>
      <c r="V346" t="inlineStr">
        <is>
          <t>Failed</t>
        </is>
      </c>
      <c r="W346" t="n">
        <v>2</v>
      </c>
      <c r="X346" t="inlineStr">
        <is>
          <t>Weather</t>
        </is>
      </c>
    </row>
    <row r="347">
      <c r="A347" t="inlineStr">
        <is>
          <t>ORD-2026-00346</t>
        </is>
      </c>
      <c r="B347" t="inlineStr">
        <is>
          <t>CUST-0249</t>
        </is>
      </c>
      <c r="C347" s="3" t="n">
        <v>46104</v>
      </c>
      <c r="D347" s="3" t="n">
        <v>46107</v>
      </c>
      <c r="E347" s="3" t="n">
        <v>46107</v>
      </c>
      <c r="F347" t="inlineStr">
        <is>
          <t>Kolkata</t>
        </is>
      </c>
      <c r="G347" t="inlineStr">
        <is>
          <t>Delhi</t>
        </is>
      </c>
      <c r="H347" t="inlineStr">
        <is>
          <t>Aramex</t>
        </is>
      </c>
      <c r="I347" t="inlineStr">
        <is>
          <t>Bike</t>
        </is>
      </c>
      <c r="J347" t="inlineStr">
        <is>
          <t>Critical</t>
        </is>
      </c>
      <c r="K347" t="inlineStr">
        <is>
          <t>Delivered</t>
        </is>
      </c>
      <c r="L347" t="n">
        <v>2439.01</v>
      </c>
      <c r="M347" t="n">
        <v>1361</v>
      </c>
      <c r="N347" t="n">
        <v>44.89</v>
      </c>
      <c r="O347" t="n">
        <v>7112.85</v>
      </c>
      <c r="P347" t="n">
        <v>1346.05</v>
      </c>
      <c r="Q347">
        <f>ROUND(L347*M347*N347/1000+O347+P347,2)</f>
        <v/>
      </c>
      <c r="R347" t="inlineStr">
        <is>
          <t>Yes</t>
        </is>
      </c>
      <c r="S347">
        <f>IF(OR(E347="",D347=""),"",MAX(0,E347-D347))</f>
        <v/>
      </c>
      <c r="T347" t="inlineStr">
        <is>
          <t>No</t>
        </is>
      </c>
      <c r="U347" t="n">
        <v>15</v>
      </c>
      <c r="V347" t="inlineStr">
        <is>
          <t>Failed</t>
        </is>
      </c>
      <c r="W347" t="n">
        <v>1</v>
      </c>
      <c r="X347" t="inlineStr">
        <is>
          <t>Address Error</t>
        </is>
      </c>
    </row>
    <row r="348">
      <c r="A348" t="inlineStr">
        <is>
          <t>ORD-2026-00347</t>
        </is>
      </c>
      <c r="B348" t="inlineStr">
        <is>
          <t>CUST-0050</t>
        </is>
      </c>
      <c r="C348" s="3" t="n">
        <v>46196</v>
      </c>
      <c r="D348" s="3" t="n">
        <v>46198</v>
      </c>
      <c r="E348" s="3" t="n">
        <v>46198</v>
      </c>
      <c r="F348" t="inlineStr">
        <is>
          <t>Kolkata</t>
        </is>
      </c>
      <c r="G348" t="inlineStr">
        <is>
          <t>Surat</t>
        </is>
      </c>
      <c r="H348" t="inlineStr">
        <is>
          <t>DHL</t>
        </is>
      </c>
      <c r="I348" t="inlineStr">
        <is>
          <t>Refrigerated Truck</t>
        </is>
      </c>
      <c r="J348" t="inlineStr">
        <is>
          <t>Normal</t>
        </is>
      </c>
      <c r="K348" t="inlineStr">
        <is>
          <t>Delivered</t>
        </is>
      </c>
      <c r="L348" t="n">
        <v>2102.27</v>
      </c>
      <c r="M348" t="n">
        <v>1831</v>
      </c>
      <c r="N348" t="n">
        <v>28.37</v>
      </c>
      <c r="O348" t="n">
        <v>5414.52</v>
      </c>
      <c r="P348" t="n">
        <v>920.0599999999999</v>
      </c>
      <c r="Q348">
        <f>ROUND(L348*M348*N348/1000+O348+P348,2)</f>
        <v/>
      </c>
      <c r="R348" t="inlineStr">
        <is>
          <t>Yes</t>
        </is>
      </c>
      <c r="S348">
        <f>IF(OR(E348="",D348=""),"",MAX(0,E348-D348))</f>
        <v/>
      </c>
      <c r="T348" t="inlineStr">
        <is>
          <t>Yes</t>
        </is>
      </c>
      <c r="U348" t="n">
        <v>11</v>
      </c>
      <c r="V348" t="inlineStr">
        <is>
          <t>Failed</t>
        </is>
      </c>
      <c r="W348" t="n">
        <v>1</v>
      </c>
      <c r="X348" t="inlineStr">
        <is>
          <t>Customs</t>
        </is>
      </c>
    </row>
    <row r="349">
      <c r="A349" t="inlineStr">
        <is>
          <t>ORD-2026-00348</t>
        </is>
      </c>
      <c r="B349" t="inlineStr">
        <is>
          <t>CUST-0219</t>
        </is>
      </c>
      <c r="C349" s="3" t="n">
        <v>46123</v>
      </c>
      <c r="D349" s="3" t="n">
        <v>46127</v>
      </c>
      <c r="E349" s="3" t="n">
        <v>46127</v>
      </c>
      <c r="F349" t="inlineStr">
        <is>
          <t>Chennai</t>
        </is>
      </c>
      <c r="G349" t="inlineStr">
        <is>
          <t>Hyderabad</t>
        </is>
      </c>
      <c r="H349" t="inlineStr">
        <is>
          <t>Delhivery</t>
        </is>
      </c>
      <c r="I349" t="inlineStr">
        <is>
          <t>Refrigerated Truck</t>
        </is>
      </c>
      <c r="J349" t="inlineStr">
        <is>
          <t>Low</t>
        </is>
      </c>
      <c r="K349" t="inlineStr">
        <is>
          <t>Delivered</t>
        </is>
      </c>
      <c r="L349" t="n">
        <v>1279.13</v>
      </c>
      <c r="M349" t="n">
        <v>234</v>
      </c>
      <c r="N349" t="n">
        <v>59.78</v>
      </c>
      <c r="O349" t="n">
        <v>924.4299999999999</v>
      </c>
      <c r="P349" t="n">
        <v>238.96</v>
      </c>
      <c r="Q349">
        <f>ROUND(L349*M349*N349/1000+O349+P349,2)</f>
        <v/>
      </c>
      <c r="R349" t="inlineStr">
        <is>
          <t>Yes</t>
        </is>
      </c>
      <c r="S349">
        <f>IF(OR(E349="",D349=""),"",MAX(0,E349-D349))</f>
        <v/>
      </c>
      <c r="T349" t="inlineStr">
        <is>
          <t>No</t>
        </is>
      </c>
      <c r="U349" t="n">
        <v>45</v>
      </c>
      <c r="V349" t="inlineStr">
        <is>
          <t>COD</t>
        </is>
      </c>
      <c r="W349" t="n">
        <v>3</v>
      </c>
      <c r="X349" t="inlineStr">
        <is>
          <t>Weather</t>
        </is>
      </c>
    </row>
    <row r="350">
      <c r="A350" t="inlineStr">
        <is>
          <t>ORD-2026-00349</t>
        </is>
      </c>
      <c r="B350" t="inlineStr">
        <is>
          <t>CUST-0249</t>
        </is>
      </c>
      <c r="C350" s="3" t="n">
        <v>46166</v>
      </c>
      <c r="D350" s="3" t="n">
        <v>46168</v>
      </c>
      <c r="E350" s="3" t="n">
        <v>46168</v>
      </c>
      <c r="F350" t="inlineStr">
        <is>
          <t>Chennai</t>
        </is>
      </c>
      <c r="G350" t="inlineStr">
        <is>
          <t>Chennai</t>
        </is>
      </c>
      <c r="H350" t="inlineStr">
        <is>
          <t>DHL</t>
        </is>
      </c>
      <c r="I350" t="inlineStr">
        <is>
          <t>Bike</t>
        </is>
      </c>
      <c r="J350" t="inlineStr">
        <is>
          <t>Low</t>
        </is>
      </c>
      <c r="K350" t="inlineStr">
        <is>
          <t>Delivered</t>
        </is>
      </c>
      <c r="L350" t="n">
        <v>1853.95</v>
      </c>
      <c r="M350" t="n">
        <v>1707</v>
      </c>
      <c r="N350" t="n">
        <v>53.81</v>
      </c>
      <c r="O350" t="n">
        <v>8057.89</v>
      </c>
      <c r="P350" t="n">
        <v>1212.4</v>
      </c>
      <c r="Q350">
        <f>ROUND(L350*M350*N350/1000+O350+P350,2)</f>
        <v/>
      </c>
      <c r="R350" t="inlineStr">
        <is>
          <t>Yes</t>
        </is>
      </c>
      <c r="S350">
        <f>IF(OR(E350="",D350=""),"",MAX(0,E350-D350))</f>
        <v/>
      </c>
      <c r="T350" t="inlineStr">
        <is>
          <t>Yes</t>
        </is>
      </c>
      <c r="U350" t="n">
        <v>27</v>
      </c>
      <c r="V350" t="inlineStr">
        <is>
          <t>COD</t>
        </is>
      </c>
      <c r="W350" t="n">
        <v>4</v>
      </c>
      <c r="X350" t="inlineStr">
        <is>
          <t>Customer Unavailable</t>
        </is>
      </c>
    </row>
    <row r="351">
      <c r="A351" t="inlineStr">
        <is>
          <t>ORD-2026-00350</t>
        </is>
      </c>
      <c r="B351" t="inlineStr">
        <is>
          <t>CUST-0045</t>
        </is>
      </c>
      <c r="C351" s="3" t="n">
        <v>46157</v>
      </c>
      <c r="D351" s="3" t="n">
        <v>46163</v>
      </c>
      <c r="E351" s="3" t="n">
        <v>46163</v>
      </c>
      <c r="F351" t="inlineStr">
        <is>
          <t>Surat</t>
        </is>
      </c>
      <c r="G351" t="inlineStr">
        <is>
          <t>Jaipur</t>
        </is>
      </c>
      <c r="H351" t="inlineStr">
        <is>
          <t>Maersk</t>
        </is>
      </c>
      <c r="I351" t="inlineStr">
        <is>
          <t>Bike</t>
        </is>
      </c>
      <c r="J351" t="inlineStr">
        <is>
          <t>Normal</t>
        </is>
      </c>
      <c r="K351" t="inlineStr">
        <is>
          <t>Delivered</t>
        </is>
      </c>
      <c r="L351" t="n">
        <v>1890.41</v>
      </c>
      <c r="M351" t="n">
        <v>367</v>
      </c>
      <c r="N351" t="n">
        <v>8.380000000000001</v>
      </c>
      <c r="O351" t="n">
        <v>397.25</v>
      </c>
      <c r="P351" t="n">
        <v>424.53</v>
      </c>
      <c r="Q351">
        <f>ROUND(L351*M351*N351/1000+O351+P351,2)</f>
        <v/>
      </c>
      <c r="R351" t="inlineStr">
        <is>
          <t>Yes</t>
        </is>
      </c>
      <c r="S351">
        <f>IF(OR(E351="",D351=""),"",MAX(0,E351-D351))</f>
        <v/>
      </c>
      <c r="T351" t="inlineStr">
        <is>
          <t>Yes</t>
        </is>
      </c>
      <c r="U351" t="n">
        <v>24</v>
      </c>
      <c r="V351" t="inlineStr">
        <is>
          <t>Failed</t>
        </is>
      </c>
      <c r="W351" t="n">
        <v>3</v>
      </c>
      <c r="X351" t="inlineStr">
        <is>
          <t>Customs</t>
        </is>
      </c>
    </row>
    <row r="352">
      <c r="A352" t="inlineStr">
        <is>
          <t>ORD-2026-00351</t>
        </is>
      </c>
      <c r="B352" t="inlineStr">
        <is>
          <t>CUST-0001</t>
        </is>
      </c>
      <c r="C352" s="3" t="n">
        <v>46148</v>
      </c>
      <c r="D352" s="3" t="n">
        <v>46149</v>
      </c>
      <c r="E352" s="3" t="n">
        <v>46151</v>
      </c>
      <c r="F352" t="inlineStr">
        <is>
          <t>Delhi</t>
        </is>
      </c>
      <c r="G352" t="inlineStr">
        <is>
          <t>Pune</t>
        </is>
      </c>
      <c r="H352" t="inlineStr">
        <is>
          <t>FedEx</t>
        </is>
      </c>
      <c r="I352" t="inlineStr">
        <is>
          <t>Container</t>
        </is>
      </c>
      <c r="J352" t="inlineStr">
        <is>
          <t>Low</t>
        </is>
      </c>
      <c r="K352" t="inlineStr">
        <is>
          <t>Delivered</t>
        </is>
      </c>
      <c r="L352" t="n">
        <v>1463.23</v>
      </c>
      <c r="M352" t="n">
        <v>2028</v>
      </c>
      <c r="N352" t="n">
        <v>39.88</v>
      </c>
      <c r="O352" t="n">
        <v>6840.96</v>
      </c>
      <c r="P352" t="n">
        <v>59.72</v>
      </c>
      <c r="Q352">
        <f>ROUND(L352*M352*N352/1000+O352+P352,2)</f>
        <v/>
      </c>
      <c r="R352" t="inlineStr">
        <is>
          <t>No</t>
        </is>
      </c>
      <c r="S352">
        <f>IF(OR(E352="",D352=""),"",MAX(0,E352-D352))</f>
        <v/>
      </c>
      <c r="T352" t="inlineStr">
        <is>
          <t>No</t>
        </is>
      </c>
      <c r="U352" t="n">
        <v>54</v>
      </c>
      <c r="V352" t="inlineStr">
        <is>
          <t>Pending</t>
        </is>
      </c>
      <c r="W352" t="n">
        <v>4</v>
      </c>
      <c r="X352" t="inlineStr">
        <is>
          <t>Damaged Package</t>
        </is>
      </c>
    </row>
    <row r="353">
      <c r="A353" t="inlineStr">
        <is>
          <t>ORD-2026-00352</t>
        </is>
      </c>
      <c r="B353" t="inlineStr">
        <is>
          <t>CUST-0112</t>
        </is>
      </c>
      <c r="C353" s="3" t="n">
        <v>46188</v>
      </c>
      <c r="D353" s="3" t="n">
        <v>46192</v>
      </c>
      <c r="E353" s="3" t="n">
        <v>46192</v>
      </c>
      <c r="F353" t="inlineStr">
        <is>
          <t>Pune</t>
        </is>
      </c>
      <c r="G353" t="inlineStr">
        <is>
          <t>Jaipur</t>
        </is>
      </c>
      <c r="H353" t="inlineStr">
        <is>
          <t>Maersk</t>
        </is>
      </c>
      <c r="I353" t="inlineStr">
        <is>
          <t>Van</t>
        </is>
      </c>
      <c r="J353" t="inlineStr">
        <is>
          <t>High</t>
        </is>
      </c>
      <c r="K353" t="inlineStr">
        <is>
          <t>Delivered</t>
        </is>
      </c>
      <c r="L353" t="n">
        <v>1232.88</v>
      </c>
      <c r="M353" t="n">
        <v>278</v>
      </c>
      <c r="N353" t="n">
        <v>42.14</v>
      </c>
      <c r="O353" t="n">
        <v>746.79</v>
      </c>
      <c r="P353" t="n">
        <v>731.12</v>
      </c>
      <c r="Q353">
        <f>ROUND(L353*M353*N353/1000+O353+P353,2)</f>
        <v/>
      </c>
      <c r="R353" t="inlineStr">
        <is>
          <t>Yes</t>
        </is>
      </c>
      <c r="S353">
        <f>IF(OR(E353="",D353=""),"",MAX(0,E353-D353))</f>
        <v/>
      </c>
      <c r="T353" t="inlineStr">
        <is>
          <t>Yes</t>
        </is>
      </c>
      <c r="U353" t="n">
        <v>34</v>
      </c>
      <c r="V353" t="inlineStr">
        <is>
          <t>Pending</t>
        </is>
      </c>
      <c r="W353" t="n">
        <v>5</v>
      </c>
      <c r="X353" t="inlineStr">
        <is>
          <t>None</t>
        </is>
      </c>
    </row>
    <row r="354">
      <c r="A354" t="inlineStr">
        <is>
          <t>ORD-2026-00353</t>
        </is>
      </c>
      <c r="B354" t="inlineStr">
        <is>
          <t>CUST-0092</t>
        </is>
      </c>
      <c r="C354" s="3" t="n">
        <v>46060</v>
      </c>
      <c r="D354" s="3" t="n">
        <v>46066</v>
      </c>
      <c r="E354" s="3" t="n">
        <v>46066</v>
      </c>
      <c r="F354" t="inlineStr">
        <is>
          <t>Ahmedabad</t>
        </is>
      </c>
      <c r="G354" t="inlineStr">
        <is>
          <t>Pune</t>
        </is>
      </c>
      <c r="H354" t="inlineStr">
        <is>
          <t>FedEx</t>
        </is>
      </c>
      <c r="I354" t="inlineStr">
        <is>
          <t>Bike</t>
        </is>
      </c>
      <c r="J354" t="inlineStr">
        <is>
          <t>Low</t>
        </is>
      </c>
      <c r="K354" t="inlineStr">
        <is>
          <t>Delivered</t>
        </is>
      </c>
      <c r="L354" t="n">
        <v>893.78</v>
      </c>
      <c r="M354" t="n">
        <v>221</v>
      </c>
      <c r="N354" t="n">
        <v>23.54</v>
      </c>
      <c r="O354" t="n">
        <v>256.53</v>
      </c>
      <c r="P354" t="n">
        <v>1369.91</v>
      </c>
      <c r="Q354">
        <f>ROUND(L354*M354*N354/1000+O354+P354,2)</f>
        <v/>
      </c>
      <c r="R354" t="inlineStr">
        <is>
          <t>Yes</t>
        </is>
      </c>
      <c r="S354">
        <f>IF(OR(E354="",D354=""),"",MAX(0,E354-D354))</f>
        <v/>
      </c>
      <c r="T354" t="inlineStr">
        <is>
          <t>Yes</t>
        </is>
      </c>
      <c r="U354" t="n">
        <v>24</v>
      </c>
      <c r="V354" t="inlineStr">
        <is>
          <t>Paid</t>
        </is>
      </c>
      <c r="W354" t="n">
        <v>5</v>
      </c>
      <c r="X354" t="inlineStr">
        <is>
          <t>Customer Unavailable</t>
        </is>
      </c>
    </row>
    <row r="355">
      <c r="A355" t="inlineStr">
        <is>
          <t>ORD-2026-00354</t>
        </is>
      </c>
      <c r="B355" t="inlineStr">
        <is>
          <t>CUST-0137</t>
        </is>
      </c>
      <c r="C355" s="3" t="n">
        <v>46065</v>
      </c>
      <c r="D355" s="3" t="n">
        <v>46071</v>
      </c>
      <c r="E355" s="3" t="n">
        <v>46074</v>
      </c>
      <c r="F355" t="inlineStr">
        <is>
          <t>Kolkata</t>
        </is>
      </c>
      <c r="G355" t="inlineStr">
        <is>
          <t>Hyderabad</t>
        </is>
      </c>
      <c r="H355" t="inlineStr">
        <is>
          <t>Aramex</t>
        </is>
      </c>
      <c r="I355" t="inlineStr">
        <is>
          <t>Truck</t>
        </is>
      </c>
      <c r="J355" t="inlineStr">
        <is>
          <t>Low</t>
        </is>
      </c>
      <c r="K355" t="inlineStr">
        <is>
          <t>Delivered</t>
        </is>
      </c>
      <c r="L355" t="n">
        <v>1712.58</v>
      </c>
      <c r="M355" t="n">
        <v>1238</v>
      </c>
      <c r="N355" t="n">
        <v>23.47</v>
      </c>
      <c r="O355" t="n">
        <v>3576.69</v>
      </c>
      <c r="P355" t="n">
        <v>556.53</v>
      </c>
      <c r="Q355">
        <f>ROUND(L355*M355*N355/1000+O355+P355,2)</f>
        <v/>
      </c>
      <c r="R355" t="inlineStr">
        <is>
          <t>No</t>
        </is>
      </c>
      <c r="S355">
        <f>IF(OR(E355="",D355=""),"",MAX(0,E355-D355))</f>
        <v/>
      </c>
      <c r="T355" t="inlineStr">
        <is>
          <t>Yes</t>
        </is>
      </c>
      <c r="U355" t="n">
        <v>67</v>
      </c>
      <c r="V355" t="inlineStr">
        <is>
          <t>COD</t>
        </is>
      </c>
      <c r="W355" t="n">
        <v>3</v>
      </c>
      <c r="X355" t="inlineStr">
        <is>
          <t>Customer Unavailable</t>
        </is>
      </c>
    </row>
    <row r="356">
      <c r="A356" t="inlineStr">
        <is>
          <t>ORD-2026-00355</t>
        </is>
      </c>
      <c r="B356" t="inlineStr">
        <is>
          <t>CUST-0144</t>
        </is>
      </c>
      <c r="C356" s="3" t="n">
        <v>46147</v>
      </c>
      <c r="D356" s="3" t="n">
        <v>46154</v>
      </c>
      <c r="E356" s="3" t="n">
        <v>46154</v>
      </c>
      <c r="F356" t="inlineStr">
        <is>
          <t>Kolkata</t>
        </is>
      </c>
      <c r="G356" t="inlineStr">
        <is>
          <t>Surat</t>
        </is>
      </c>
      <c r="H356" t="inlineStr">
        <is>
          <t>Aramex</t>
        </is>
      </c>
      <c r="I356" t="inlineStr">
        <is>
          <t>Bike</t>
        </is>
      </c>
      <c r="J356" t="inlineStr">
        <is>
          <t>Low</t>
        </is>
      </c>
      <c r="K356" t="inlineStr">
        <is>
          <t>Delivered</t>
        </is>
      </c>
      <c r="L356" t="n">
        <v>256.49</v>
      </c>
      <c r="M356" t="n">
        <v>638</v>
      </c>
      <c r="N356" t="n">
        <v>36.69</v>
      </c>
      <c r="O356" t="n">
        <v>479.68</v>
      </c>
      <c r="P356" t="n">
        <v>1196.76</v>
      </c>
      <c r="Q356">
        <f>ROUND(L356*M356*N356/1000+O356+P356,2)</f>
        <v/>
      </c>
      <c r="R356" t="inlineStr">
        <is>
          <t>Yes</t>
        </is>
      </c>
      <c r="S356">
        <f>IF(OR(E356="",D356=""),"",MAX(0,E356-D356))</f>
        <v/>
      </c>
      <c r="T356" t="inlineStr">
        <is>
          <t>No</t>
        </is>
      </c>
      <c r="U356" t="n">
        <v>59</v>
      </c>
      <c r="V356" t="inlineStr">
        <is>
          <t>Paid</t>
        </is>
      </c>
      <c r="W356" t="n">
        <v>1</v>
      </c>
      <c r="X356" t="inlineStr">
        <is>
          <t>Customer Unavailable</t>
        </is>
      </c>
    </row>
    <row r="357">
      <c r="A357" t="inlineStr">
        <is>
          <t>ORD-2026-00356</t>
        </is>
      </c>
      <c r="B357" t="inlineStr">
        <is>
          <t>CUST-0088</t>
        </is>
      </c>
      <c r="C357" s="3" t="n">
        <v>46056</v>
      </c>
      <c r="D357" s="3" t="n">
        <v>46057</v>
      </c>
      <c r="E357" s="3" t="n">
        <v>46057</v>
      </c>
      <c r="F357" t="inlineStr">
        <is>
          <t>Delhi</t>
        </is>
      </c>
      <c r="G357" t="inlineStr">
        <is>
          <t>Pune</t>
        </is>
      </c>
      <c r="H357" t="inlineStr">
        <is>
          <t>BlueDart</t>
        </is>
      </c>
      <c r="I357" t="inlineStr">
        <is>
          <t>Van</t>
        </is>
      </c>
      <c r="J357" t="inlineStr">
        <is>
          <t>Normal</t>
        </is>
      </c>
      <c r="K357" t="inlineStr">
        <is>
          <t>Delivered</t>
        </is>
      </c>
      <c r="L357" t="n">
        <v>906.74</v>
      </c>
      <c r="M357" t="n">
        <v>1815</v>
      </c>
      <c r="N357" t="n">
        <v>58.71</v>
      </c>
      <c r="O357" t="n">
        <v>6363.35</v>
      </c>
      <c r="P357" t="n">
        <v>1150.11</v>
      </c>
      <c r="Q357">
        <f>ROUND(L357*M357*N357/1000+O357+P357,2)</f>
        <v/>
      </c>
      <c r="R357" t="inlineStr">
        <is>
          <t>Yes</t>
        </is>
      </c>
      <c r="S357">
        <f>IF(OR(E357="",D357=""),"",MAX(0,E357-D357))</f>
        <v/>
      </c>
      <c r="T357" t="inlineStr">
        <is>
          <t>Yes</t>
        </is>
      </c>
      <c r="U357" t="n">
        <v>19</v>
      </c>
      <c r="V357" t="inlineStr">
        <is>
          <t>Pending</t>
        </is>
      </c>
      <c r="W357" t="n">
        <v>3</v>
      </c>
      <c r="X357" t="inlineStr">
        <is>
          <t>Address Error</t>
        </is>
      </c>
    </row>
    <row r="358">
      <c r="A358" t="inlineStr">
        <is>
          <t>ORD-2026-00357</t>
        </is>
      </c>
      <c r="B358" t="inlineStr">
        <is>
          <t>CUST-0011</t>
        </is>
      </c>
      <c r="C358" s="3" t="n">
        <v>46076</v>
      </c>
      <c r="D358" s="3" t="n">
        <v>46079</v>
      </c>
      <c r="E358" s="3" t="n">
        <v>46089</v>
      </c>
      <c r="F358" t="inlineStr">
        <is>
          <t>Bengaluru</t>
        </is>
      </c>
      <c r="G358" t="inlineStr">
        <is>
          <t>Mumbai</t>
        </is>
      </c>
      <c r="H358" t="inlineStr">
        <is>
          <t>BlueDart</t>
        </is>
      </c>
      <c r="I358" t="inlineStr">
        <is>
          <t>Bike</t>
        </is>
      </c>
      <c r="J358" t="inlineStr">
        <is>
          <t>Low</t>
        </is>
      </c>
      <c r="K358" t="inlineStr">
        <is>
          <t>Delivered</t>
        </is>
      </c>
      <c r="L358" t="n">
        <v>1907.68</v>
      </c>
      <c r="M358" t="n">
        <v>462</v>
      </c>
      <c r="N358" t="n">
        <v>12.43</v>
      </c>
      <c r="O358" t="n">
        <v>837.87</v>
      </c>
      <c r="P358" t="n">
        <v>1140.85</v>
      </c>
      <c r="Q358">
        <f>ROUND(L358*M358*N358/1000+O358+P358,2)</f>
        <v/>
      </c>
      <c r="R358" t="inlineStr">
        <is>
          <t>No</t>
        </is>
      </c>
      <c r="S358">
        <f>IF(OR(E358="",D358=""),"",MAX(0,E358-D358))</f>
        <v/>
      </c>
      <c r="T358" t="inlineStr">
        <is>
          <t>No</t>
        </is>
      </c>
      <c r="U358" t="n">
        <v>16</v>
      </c>
      <c r="V358" t="inlineStr">
        <is>
          <t>COD</t>
        </is>
      </c>
      <c r="W358" t="n">
        <v>1</v>
      </c>
      <c r="X358" t="inlineStr">
        <is>
          <t>None</t>
        </is>
      </c>
    </row>
    <row r="359">
      <c r="A359" t="inlineStr">
        <is>
          <t>ORD-2026-00358</t>
        </is>
      </c>
      <c r="B359" t="inlineStr">
        <is>
          <t>CUST-0008</t>
        </is>
      </c>
      <c r="C359" s="3" t="n">
        <v>46100</v>
      </c>
      <c r="D359" s="3" t="n">
        <v>46101</v>
      </c>
      <c r="E359" s="3" t="n">
        <v>46103</v>
      </c>
      <c r="F359" t="inlineStr">
        <is>
          <t>Mumbai</t>
        </is>
      </c>
      <c r="G359" t="inlineStr">
        <is>
          <t>Delhi</t>
        </is>
      </c>
      <c r="H359" t="inlineStr">
        <is>
          <t>Aramex</t>
        </is>
      </c>
      <c r="I359" t="inlineStr">
        <is>
          <t>Refrigerated Truck</t>
        </is>
      </c>
      <c r="J359" t="inlineStr">
        <is>
          <t>High</t>
        </is>
      </c>
      <c r="K359" t="inlineStr">
        <is>
          <t>Delivered</t>
        </is>
      </c>
      <c r="L359" t="n">
        <v>2300.29</v>
      </c>
      <c r="M359" t="n">
        <v>846</v>
      </c>
      <c r="N359" t="n">
        <v>41.49</v>
      </c>
      <c r="O359" t="n">
        <v>3391.26</v>
      </c>
      <c r="P359" t="n">
        <v>1012.49</v>
      </c>
      <c r="Q359">
        <f>ROUND(L359*M359*N359/1000+O359+P359,2)</f>
        <v/>
      </c>
      <c r="R359" t="inlineStr">
        <is>
          <t>No</t>
        </is>
      </c>
      <c r="S359">
        <f>IF(OR(E359="",D359=""),"",MAX(0,E359-D359))</f>
        <v/>
      </c>
      <c r="T359" t="inlineStr">
        <is>
          <t>No</t>
        </is>
      </c>
      <c r="U359" t="n">
        <v>21</v>
      </c>
      <c r="V359" t="inlineStr">
        <is>
          <t>Pending</t>
        </is>
      </c>
      <c r="W359" t="n">
        <v>5</v>
      </c>
      <c r="X359" t="inlineStr">
        <is>
          <t>Customs</t>
        </is>
      </c>
    </row>
    <row r="360">
      <c r="A360" t="inlineStr">
        <is>
          <t>ORD-2026-00359</t>
        </is>
      </c>
      <c r="B360" t="inlineStr">
        <is>
          <t>CUST-0002</t>
        </is>
      </c>
      <c r="C360" s="3" t="n">
        <v>46040</v>
      </c>
      <c r="D360" s="3" t="n">
        <v>46042</v>
      </c>
      <c r="E360" s="3" t="n">
        <v>46044</v>
      </c>
      <c r="F360" t="inlineStr">
        <is>
          <t>Mumbai</t>
        </is>
      </c>
      <c r="G360" t="inlineStr">
        <is>
          <t>Bengaluru</t>
        </is>
      </c>
      <c r="H360" t="inlineStr">
        <is>
          <t>DTDC</t>
        </is>
      </c>
      <c r="I360" t="inlineStr">
        <is>
          <t>Container</t>
        </is>
      </c>
      <c r="J360" t="inlineStr">
        <is>
          <t>High</t>
        </is>
      </c>
      <c r="K360" t="inlineStr">
        <is>
          <t>Delivered</t>
        </is>
      </c>
      <c r="L360" t="n">
        <v>1322.33</v>
      </c>
      <c r="M360" t="n">
        <v>789</v>
      </c>
      <c r="N360" t="n">
        <v>62.96</v>
      </c>
      <c r="O360" t="n">
        <v>2647.62</v>
      </c>
      <c r="P360" t="n">
        <v>1135.95</v>
      </c>
      <c r="Q360">
        <f>ROUND(L360*M360*N360/1000+O360+P360,2)</f>
        <v/>
      </c>
      <c r="R360" t="inlineStr">
        <is>
          <t>No</t>
        </is>
      </c>
      <c r="S360">
        <f>IF(OR(E360="",D360=""),"",MAX(0,E360-D360))</f>
        <v/>
      </c>
      <c r="T360" t="inlineStr">
        <is>
          <t>Yes</t>
        </is>
      </c>
      <c r="U360" t="n">
        <v>57</v>
      </c>
      <c r="V360" t="inlineStr">
        <is>
          <t>Paid</t>
        </is>
      </c>
      <c r="W360" t="n">
        <v>2</v>
      </c>
      <c r="X360" t="inlineStr">
        <is>
          <t>Customer Unavailable</t>
        </is>
      </c>
    </row>
    <row r="361">
      <c r="A361" t="inlineStr">
        <is>
          <t>ORD-2026-00360</t>
        </is>
      </c>
      <c r="B361" t="inlineStr">
        <is>
          <t>CUST-0196</t>
        </is>
      </c>
      <c r="C361" s="3" t="n">
        <v>46113</v>
      </c>
      <c r="D361" s="3" t="n">
        <v>46120</v>
      </c>
      <c r="E361" s="3" t="n">
        <v>46120</v>
      </c>
      <c r="F361" t="inlineStr">
        <is>
          <t>Hyderabad</t>
        </is>
      </c>
      <c r="G361" t="inlineStr">
        <is>
          <t>Pune</t>
        </is>
      </c>
      <c r="H361" t="inlineStr">
        <is>
          <t>DTDC</t>
        </is>
      </c>
      <c r="I361" t="inlineStr">
        <is>
          <t>Van</t>
        </is>
      </c>
      <c r="J361" t="inlineStr">
        <is>
          <t>Low</t>
        </is>
      </c>
      <c r="K361" t="inlineStr">
        <is>
          <t>Delivered</t>
        </is>
      </c>
      <c r="L361" t="n">
        <v>1019.24</v>
      </c>
      <c r="M361" t="n">
        <v>1292</v>
      </c>
      <c r="N361" t="n">
        <v>15.05</v>
      </c>
      <c r="O361" t="n">
        <v>725.74</v>
      </c>
      <c r="P361" t="n">
        <v>221.15</v>
      </c>
      <c r="Q361">
        <f>ROUND(L361*M361*N361/1000+O361+P361,2)</f>
        <v/>
      </c>
      <c r="R361" t="inlineStr">
        <is>
          <t>Yes</t>
        </is>
      </c>
      <c r="S361">
        <f>IF(OR(E361="",D361=""),"",MAX(0,E361-D361))</f>
        <v/>
      </c>
      <c r="T361" t="inlineStr">
        <is>
          <t>No</t>
        </is>
      </c>
      <c r="U361" t="n">
        <v>64</v>
      </c>
      <c r="V361" t="inlineStr">
        <is>
          <t>Paid</t>
        </is>
      </c>
      <c r="W361" t="n">
        <v>4</v>
      </c>
      <c r="X361" t="inlineStr">
        <is>
          <t>Vehicle Breakdown</t>
        </is>
      </c>
    </row>
    <row r="362">
      <c r="A362" t="inlineStr">
        <is>
          <t>ORD-2026-00361</t>
        </is>
      </c>
      <c r="B362" t="inlineStr">
        <is>
          <t>CUST-0018</t>
        </is>
      </c>
      <c r="C362" s="3" t="n">
        <v>46139</v>
      </c>
      <c r="D362" s="3" t="n">
        <v>46144</v>
      </c>
      <c r="E362" s="3" t="n">
        <v>46145</v>
      </c>
      <c r="F362" t="inlineStr">
        <is>
          <t>Jaipur</t>
        </is>
      </c>
      <c r="G362" t="inlineStr">
        <is>
          <t>Hyderabad</t>
        </is>
      </c>
      <c r="H362" t="inlineStr">
        <is>
          <t>DHL</t>
        </is>
      </c>
      <c r="I362" t="inlineStr">
        <is>
          <t>Van</t>
        </is>
      </c>
      <c r="J362" t="inlineStr">
        <is>
          <t>Critical</t>
        </is>
      </c>
      <c r="K362" t="inlineStr">
        <is>
          <t>Delivered</t>
        </is>
      </c>
      <c r="L362" t="n">
        <v>565.0700000000001</v>
      </c>
      <c r="M362" t="n">
        <v>1673</v>
      </c>
      <c r="N362" t="n">
        <v>24.56</v>
      </c>
      <c r="O362" t="n">
        <v>1888.14</v>
      </c>
      <c r="P362" t="n">
        <v>299.4</v>
      </c>
      <c r="Q362">
        <f>ROUND(L362*M362*N362/1000+O362+P362,2)</f>
        <v/>
      </c>
      <c r="R362" t="inlineStr">
        <is>
          <t>No</t>
        </is>
      </c>
      <c r="S362">
        <f>IF(OR(E362="",D362=""),"",MAX(0,E362-D362))</f>
        <v/>
      </c>
      <c r="T362" t="inlineStr">
        <is>
          <t>Yes</t>
        </is>
      </c>
      <c r="U362" t="n">
        <v>51</v>
      </c>
      <c r="V362" t="inlineStr">
        <is>
          <t>Failed</t>
        </is>
      </c>
      <c r="W362" t="n">
        <v>5</v>
      </c>
      <c r="X362" t="inlineStr">
        <is>
          <t>Damaged Package</t>
        </is>
      </c>
    </row>
    <row r="363">
      <c r="A363" t="inlineStr">
        <is>
          <t>ORD-2026-00362</t>
        </is>
      </c>
      <c r="B363" t="inlineStr">
        <is>
          <t>CUST-0094</t>
        </is>
      </c>
      <c r="C363" s="3" t="n">
        <v>46196</v>
      </c>
      <c r="D363" s="3" t="n">
        <v>46198</v>
      </c>
      <c r="E363" s="3" t="n">
        <v>46198</v>
      </c>
      <c r="F363" t="inlineStr">
        <is>
          <t>Bengaluru</t>
        </is>
      </c>
      <c r="G363" t="inlineStr">
        <is>
          <t>Hyderabad</t>
        </is>
      </c>
      <c r="H363" t="inlineStr">
        <is>
          <t>DHL</t>
        </is>
      </c>
      <c r="I363" t="inlineStr">
        <is>
          <t>Bike</t>
        </is>
      </c>
      <c r="J363" t="inlineStr">
        <is>
          <t>Critical</t>
        </is>
      </c>
      <c r="K363" t="inlineStr">
        <is>
          <t>Delivered</t>
        </is>
      </c>
      <c r="L363" t="n">
        <v>1737.75</v>
      </c>
      <c r="M363" t="n">
        <v>421</v>
      </c>
      <c r="N363" t="n">
        <v>50.26</v>
      </c>
      <c r="O363" t="n">
        <v>3071.96</v>
      </c>
      <c r="P363" t="n">
        <v>269.71</v>
      </c>
      <c r="Q363">
        <f>ROUND(L363*M363*N363/1000+O363+P363,2)</f>
        <v/>
      </c>
      <c r="R363" t="inlineStr">
        <is>
          <t>Yes</t>
        </is>
      </c>
      <c r="S363">
        <f>IF(OR(E363="",D363=""),"",MAX(0,E363-D363))</f>
        <v/>
      </c>
      <c r="T363" t="inlineStr">
        <is>
          <t>Yes</t>
        </is>
      </c>
      <c r="U363" t="n">
        <v>30</v>
      </c>
      <c r="V363" t="inlineStr">
        <is>
          <t>Failed</t>
        </is>
      </c>
      <c r="W363" t="n">
        <v>4</v>
      </c>
      <c r="X363" t="inlineStr">
        <is>
          <t>Vehicle Breakdown</t>
        </is>
      </c>
    </row>
    <row r="364">
      <c r="A364" t="inlineStr">
        <is>
          <t>ORD-2026-00363</t>
        </is>
      </c>
      <c r="B364" t="inlineStr">
        <is>
          <t>CUST-0125</t>
        </is>
      </c>
      <c r="C364" s="3" t="n">
        <v>46218</v>
      </c>
      <c r="D364" s="3" t="n">
        <v>46223</v>
      </c>
      <c r="E364" s="3" t="n">
        <v>46225</v>
      </c>
      <c r="F364" t="inlineStr">
        <is>
          <t>Surat</t>
        </is>
      </c>
      <c r="G364" t="inlineStr">
        <is>
          <t>Pune</t>
        </is>
      </c>
      <c r="H364" t="inlineStr">
        <is>
          <t>DHL</t>
        </is>
      </c>
      <c r="I364" t="inlineStr">
        <is>
          <t>Container</t>
        </is>
      </c>
      <c r="J364" t="inlineStr">
        <is>
          <t>Low</t>
        </is>
      </c>
      <c r="K364" t="inlineStr">
        <is>
          <t>Delivered</t>
        </is>
      </c>
      <c r="L364" t="n">
        <v>2358.09</v>
      </c>
      <c r="M364" t="n">
        <v>1463</v>
      </c>
      <c r="N364" t="n">
        <v>35.12</v>
      </c>
      <c r="O364" t="n">
        <v>8019.57</v>
      </c>
      <c r="P364" t="n">
        <v>618.58</v>
      </c>
      <c r="Q364">
        <f>ROUND(L364*M364*N364/1000+O364+P364,2)</f>
        <v/>
      </c>
      <c r="R364" t="inlineStr">
        <is>
          <t>No</t>
        </is>
      </c>
      <c r="S364">
        <f>IF(OR(E364="",D364=""),"",MAX(0,E364-D364))</f>
        <v/>
      </c>
      <c r="T364" t="inlineStr">
        <is>
          <t>Yes</t>
        </is>
      </c>
      <c r="U364" t="n">
        <v>33</v>
      </c>
      <c r="V364" t="inlineStr">
        <is>
          <t>Failed</t>
        </is>
      </c>
      <c r="W364" t="n">
        <v>4</v>
      </c>
      <c r="X364" t="inlineStr">
        <is>
          <t>Address Error</t>
        </is>
      </c>
    </row>
    <row r="365">
      <c r="A365" t="inlineStr">
        <is>
          <t>ORD-2026-00364</t>
        </is>
      </c>
      <c r="B365" t="inlineStr">
        <is>
          <t>CUST-0174</t>
        </is>
      </c>
      <c r="C365" s="3" t="n">
        <v>46183</v>
      </c>
      <c r="D365" s="3" t="n">
        <v>46186</v>
      </c>
      <c r="E365" s="3" t="n">
        <v>46186</v>
      </c>
      <c r="F365" t="inlineStr">
        <is>
          <t>Hyderabad</t>
        </is>
      </c>
      <c r="G365" t="inlineStr">
        <is>
          <t>Delhi</t>
        </is>
      </c>
      <c r="H365" t="inlineStr">
        <is>
          <t>FedEx</t>
        </is>
      </c>
      <c r="I365" t="inlineStr">
        <is>
          <t>Bike</t>
        </is>
      </c>
      <c r="J365" t="inlineStr">
        <is>
          <t>Low</t>
        </is>
      </c>
      <c r="K365" t="inlineStr">
        <is>
          <t>Delivered</t>
        </is>
      </c>
      <c r="L365" t="n">
        <v>2075.87</v>
      </c>
      <c r="M365" t="n">
        <v>2045</v>
      </c>
      <c r="N365" t="n">
        <v>46.65</v>
      </c>
      <c r="O365" t="n">
        <v>17491.44</v>
      </c>
      <c r="P365" t="n">
        <v>586.3</v>
      </c>
      <c r="Q365">
        <f>ROUND(L365*M365*N365/1000+O365+P365,2)</f>
        <v/>
      </c>
      <c r="R365" t="inlineStr">
        <is>
          <t>Yes</t>
        </is>
      </c>
      <c r="S365">
        <f>IF(OR(E365="",D365=""),"",MAX(0,E365-D365))</f>
        <v/>
      </c>
      <c r="T365" t="inlineStr">
        <is>
          <t>Yes</t>
        </is>
      </c>
      <c r="U365" t="n">
        <v>67</v>
      </c>
      <c r="V365" t="inlineStr">
        <is>
          <t>Failed</t>
        </is>
      </c>
      <c r="W365" t="n">
        <v>4</v>
      </c>
      <c r="X365" t="inlineStr">
        <is>
          <t>Address Error</t>
        </is>
      </c>
    </row>
    <row r="366">
      <c r="A366" t="inlineStr">
        <is>
          <t>ORD-2026-00365</t>
        </is>
      </c>
      <c r="B366" t="inlineStr">
        <is>
          <t>CUST-0111</t>
        </is>
      </c>
      <c r="C366" s="3" t="n">
        <v>46098</v>
      </c>
      <c r="D366" s="3" t="n">
        <v>46106</v>
      </c>
      <c r="E366" s="3" t="n">
        <v>46106</v>
      </c>
      <c r="F366" t="inlineStr">
        <is>
          <t>Mumbai</t>
        </is>
      </c>
      <c r="G366" t="inlineStr">
        <is>
          <t>Chennai</t>
        </is>
      </c>
      <c r="H366" t="inlineStr">
        <is>
          <t>Delhivery</t>
        </is>
      </c>
      <c r="I366" t="inlineStr">
        <is>
          <t>Refrigerated Truck</t>
        </is>
      </c>
      <c r="J366" t="inlineStr">
        <is>
          <t>Critical</t>
        </is>
      </c>
      <c r="K366" t="inlineStr">
        <is>
          <t>Delivered</t>
        </is>
      </c>
      <c r="L366" t="n">
        <v>859.37</v>
      </c>
      <c r="M366" t="n">
        <v>2219</v>
      </c>
      <c r="N366" t="n">
        <v>39.16</v>
      </c>
      <c r="O366" t="n">
        <v>6508.36</v>
      </c>
      <c r="P366" t="n">
        <v>66.77</v>
      </c>
      <c r="Q366">
        <f>ROUND(L366*M366*N366/1000+O366+P366,2)</f>
        <v/>
      </c>
      <c r="R366" t="inlineStr">
        <is>
          <t>Yes</t>
        </is>
      </c>
      <c r="S366">
        <f>IF(OR(E366="",D366=""),"",MAX(0,E366-D366))</f>
        <v/>
      </c>
      <c r="T366" t="inlineStr">
        <is>
          <t>No</t>
        </is>
      </c>
      <c r="U366" t="n">
        <v>59</v>
      </c>
      <c r="V366" t="inlineStr">
        <is>
          <t>Paid</t>
        </is>
      </c>
      <c r="W366" t="n">
        <v>1</v>
      </c>
      <c r="X366" t="inlineStr">
        <is>
          <t>Address Error</t>
        </is>
      </c>
    </row>
    <row r="367">
      <c r="A367" t="inlineStr">
        <is>
          <t>ORD-2026-00366</t>
        </is>
      </c>
      <c r="B367" t="inlineStr">
        <is>
          <t>CUST-0173</t>
        </is>
      </c>
      <c r="C367" s="3" t="n">
        <v>46165</v>
      </c>
      <c r="D367" s="3" t="n">
        <v>46170</v>
      </c>
      <c r="E367" s="3" t="n">
        <v>46173</v>
      </c>
      <c r="F367" t="inlineStr">
        <is>
          <t>Jaipur</t>
        </is>
      </c>
      <c r="G367" t="inlineStr">
        <is>
          <t>Surat</t>
        </is>
      </c>
      <c r="H367" t="inlineStr">
        <is>
          <t>Maersk</t>
        </is>
      </c>
      <c r="I367" t="inlineStr">
        <is>
          <t>Bike</t>
        </is>
      </c>
      <c r="J367" t="inlineStr">
        <is>
          <t>Critical</t>
        </is>
      </c>
      <c r="K367" t="inlineStr">
        <is>
          <t>Delivered</t>
        </is>
      </c>
      <c r="L367" t="n">
        <v>1076.99</v>
      </c>
      <c r="M367" t="n">
        <v>1284</v>
      </c>
      <c r="N367" t="n">
        <v>48.8</v>
      </c>
      <c r="O367" t="n">
        <v>3998.2</v>
      </c>
      <c r="P367" t="n">
        <v>181.89</v>
      </c>
      <c r="Q367">
        <f>ROUND(L367*M367*N367/1000+O367+P367,2)</f>
        <v/>
      </c>
      <c r="R367" t="inlineStr">
        <is>
          <t>No</t>
        </is>
      </c>
      <c r="S367">
        <f>IF(OR(E367="",D367=""),"",MAX(0,E367-D367))</f>
        <v/>
      </c>
      <c r="T367" t="inlineStr">
        <is>
          <t>No</t>
        </is>
      </c>
      <c r="U367" t="n">
        <v>72</v>
      </c>
      <c r="V367" t="inlineStr">
        <is>
          <t>Pending</t>
        </is>
      </c>
      <c r="W367" t="n">
        <v>5</v>
      </c>
      <c r="X367" t="inlineStr">
        <is>
          <t>None</t>
        </is>
      </c>
    </row>
    <row r="368">
      <c r="A368" t="inlineStr">
        <is>
          <t>ORD-2026-00367</t>
        </is>
      </c>
      <c r="B368" t="inlineStr">
        <is>
          <t>CUST-0152</t>
        </is>
      </c>
      <c r="C368" s="3" t="n">
        <v>46123</v>
      </c>
      <c r="D368" s="3" t="n">
        <v>46128</v>
      </c>
      <c r="E368" s="3" t="n">
        <v>46128</v>
      </c>
      <c r="F368" t="inlineStr">
        <is>
          <t>Ahmedabad</t>
        </is>
      </c>
      <c r="G368" t="inlineStr">
        <is>
          <t>Delhi</t>
        </is>
      </c>
      <c r="H368" t="inlineStr">
        <is>
          <t>Aramex</t>
        </is>
      </c>
      <c r="I368" t="inlineStr">
        <is>
          <t>Refrigerated Truck</t>
        </is>
      </c>
      <c r="J368" t="inlineStr">
        <is>
          <t>High</t>
        </is>
      </c>
      <c r="K368" t="inlineStr">
        <is>
          <t>Delivered</t>
        </is>
      </c>
      <c r="L368" t="n">
        <v>1542.54</v>
      </c>
      <c r="M368" t="n">
        <v>1449</v>
      </c>
      <c r="N368" t="n">
        <v>51.69</v>
      </c>
      <c r="O368" t="n">
        <v>5437.77</v>
      </c>
      <c r="P368" t="n">
        <v>110.91</v>
      </c>
      <c r="Q368">
        <f>ROUND(L368*M368*N368/1000+O368+P368,2)</f>
        <v/>
      </c>
      <c r="R368" t="inlineStr">
        <is>
          <t>Yes</t>
        </is>
      </c>
      <c r="S368">
        <f>IF(OR(E368="",D368=""),"",MAX(0,E368-D368))</f>
        <v/>
      </c>
      <c r="T368" t="inlineStr">
        <is>
          <t>Yes</t>
        </is>
      </c>
      <c r="U368" t="n">
        <v>44</v>
      </c>
      <c r="V368" t="inlineStr">
        <is>
          <t>Failed</t>
        </is>
      </c>
      <c r="W368" t="n">
        <v>1</v>
      </c>
      <c r="X368" t="inlineStr">
        <is>
          <t>Weather</t>
        </is>
      </c>
    </row>
    <row r="369">
      <c r="A369" t="inlineStr">
        <is>
          <t>ORD-2026-00368</t>
        </is>
      </c>
      <c r="B369" t="inlineStr">
        <is>
          <t>CUST-0223</t>
        </is>
      </c>
      <c r="C369" s="3" t="n">
        <v>46111</v>
      </c>
      <c r="D369" s="3" t="n">
        <v>46117</v>
      </c>
      <c r="E369" s="3" t="n"/>
      <c r="F369" t="inlineStr">
        <is>
          <t>Pune</t>
        </is>
      </c>
      <c r="G369" t="inlineStr">
        <is>
          <t>Mumbai</t>
        </is>
      </c>
      <c r="H369" t="inlineStr">
        <is>
          <t>FedEx</t>
        </is>
      </c>
      <c r="I369" t="inlineStr">
        <is>
          <t>Truck</t>
        </is>
      </c>
      <c r="J369" t="inlineStr">
        <is>
          <t>Low</t>
        </is>
      </c>
      <c r="K369" t="inlineStr">
        <is>
          <t>Booked</t>
        </is>
      </c>
      <c r="L369" t="n">
        <v>619.41</v>
      </c>
      <c r="M369" t="n">
        <v>2659</v>
      </c>
      <c r="N369" t="n">
        <v>25.79</v>
      </c>
      <c r="O369" t="n">
        <v>1490.77</v>
      </c>
      <c r="P369" t="n">
        <v>1038.23</v>
      </c>
      <c r="Q369">
        <f>ROUND(L369*M369*N369/1000+O369+P369,2)</f>
        <v/>
      </c>
      <c r="R369" t="inlineStr">
        <is>
          <t>No</t>
        </is>
      </c>
      <c r="S369">
        <f>IF(OR(E369="",D369=""),"",MAX(0,E369-D369))</f>
        <v/>
      </c>
      <c r="T369" t="inlineStr">
        <is>
          <t>No</t>
        </is>
      </c>
      <c r="U369" t="n">
        <v>5</v>
      </c>
      <c r="V369" t="inlineStr">
        <is>
          <t>Failed</t>
        </is>
      </c>
      <c r="W369" t="n">
        <v>4</v>
      </c>
      <c r="X369" t="inlineStr">
        <is>
          <t>Customs</t>
        </is>
      </c>
    </row>
    <row r="370">
      <c r="A370" t="inlineStr">
        <is>
          <t>ORD-2026-00369</t>
        </is>
      </c>
      <c r="B370" t="inlineStr">
        <is>
          <t>CUST-0207</t>
        </is>
      </c>
      <c r="C370" s="3" t="n">
        <v>46154</v>
      </c>
      <c r="D370" s="3" t="n">
        <v>46161</v>
      </c>
      <c r="E370" s="3" t="n">
        <v>46161</v>
      </c>
      <c r="F370" t="inlineStr">
        <is>
          <t>Jaipur</t>
        </is>
      </c>
      <c r="G370" t="inlineStr">
        <is>
          <t>Mumbai</t>
        </is>
      </c>
      <c r="H370" t="inlineStr">
        <is>
          <t>Maersk</t>
        </is>
      </c>
      <c r="I370" t="inlineStr">
        <is>
          <t>Truck</t>
        </is>
      </c>
      <c r="J370" t="inlineStr">
        <is>
          <t>High</t>
        </is>
      </c>
      <c r="K370" t="inlineStr">
        <is>
          <t>Delivered</t>
        </is>
      </c>
      <c r="L370" t="n">
        <v>1470.18</v>
      </c>
      <c r="M370" t="n">
        <v>1301</v>
      </c>
      <c r="N370" t="n">
        <v>29.53</v>
      </c>
      <c r="O370" t="n">
        <v>3017.17</v>
      </c>
      <c r="P370" t="n">
        <v>867.36</v>
      </c>
      <c r="Q370">
        <f>ROUND(L370*M370*N370/1000+O370+P370,2)</f>
        <v/>
      </c>
      <c r="R370" t="inlineStr">
        <is>
          <t>Yes</t>
        </is>
      </c>
      <c r="S370">
        <f>IF(OR(E370="",D370=""),"",MAX(0,E370-D370))</f>
        <v/>
      </c>
      <c r="T370" t="inlineStr">
        <is>
          <t>No</t>
        </is>
      </c>
      <c r="U370" t="n">
        <v>65</v>
      </c>
      <c r="V370" t="inlineStr">
        <is>
          <t>COD</t>
        </is>
      </c>
      <c r="W370" t="n">
        <v>2</v>
      </c>
      <c r="X370" t="inlineStr">
        <is>
          <t>Customs</t>
        </is>
      </c>
    </row>
    <row r="371">
      <c r="A371" t="inlineStr">
        <is>
          <t>ORD-2026-00370</t>
        </is>
      </c>
      <c r="B371" t="inlineStr">
        <is>
          <t>CUST-0013</t>
        </is>
      </c>
      <c r="C371" s="3" t="n">
        <v>46099</v>
      </c>
      <c r="D371" s="3" t="n">
        <v>46105</v>
      </c>
      <c r="E371" s="3" t="n">
        <v>46115</v>
      </c>
      <c r="F371" t="inlineStr">
        <is>
          <t>Pune</t>
        </is>
      </c>
      <c r="G371" t="inlineStr">
        <is>
          <t>Kolkata</t>
        </is>
      </c>
      <c r="H371" t="inlineStr">
        <is>
          <t>Delhivery</t>
        </is>
      </c>
      <c r="I371" t="inlineStr">
        <is>
          <t>Truck</t>
        </is>
      </c>
      <c r="J371" t="inlineStr">
        <is>
          <t>Low</t>
        </is>
      </c>
      <c r="K371" t="inlineStr">
        <is>
          <t>Delivered</t>
        </is>
      </c>
      <c r="L371" t="n">
        <v>1588.79</v>
      </c>
      <c r="M371" t="n">
        <v>313</v>
      </c>
      <c r="N371" t="n">
        <v>55.9</v>
      </c>
      <c r="O371" t="n">
        <v>1727.68</v>
      </c>
      <c r="P371" t="n">
        <v>445.29</v>
      </c>
      <c r="Q371">
        <f>ROUND(L371*M371*N371/1000+O371+P371,2)</f>
        <v/>
      </c>
      <c r="R371" t="inlineStr">
        <is>
          <t>No</t>
        </is>
      </c>
      <c r="S371">
        <f>IF(OR(E371="",D371=""),"",MAX(0,E371-D371))</f>
        <v/>
      </c>
      <c r="T371" t="inlineStr">
        <is>
          <t>Yes</t>
        </is>
      </c>
      <c r="U371" t="n">
        <v>76</v>
      </c>
      <c r="V371" t="inlineStr">
        <is>
          <t>COD</t>
        </is>
      </c>
      <c r="W371" t="n">
        <v>3</v>
      </c>
      <c r="X371" t="inlineStr">
        <is>
          <t>None</t>
        </is>
      </c>
    </row>
    <row r="372">
      <c r="A372" t="inlineStr">
        <is>
          <t>ORD-2026-00371</t>
        </is>
      </c>
      <c r="B372" t="inlineStr">
        <is>
          <t>CUST-0081</t>
        </is>
      </c>
      <c r="C372" s="3" t="n">
        <v>46168</v>
      </c>
      <c r="D372" s="3" t="n">
        <v>46176</v>
      </c>
      <c r="E372" s="3" t="n">
        <v>46176</v>
      </c>
      <c r="F372" t="inlineStr">
        <is>
          <t>Bengaluru</t>
        </is>
      </c>
      <c r="G372" t="inlineStr">
        <is>
          <t>Chennai</t>
        </is>
      </c>
      <c r="H372" t="inlineStr">
        <is>
          <t>Delhivery</t>
        </is>
      </c>
      <c r="I372" t="inlineStr">
        <is>
          <t>Refrigerated Truck</t>
        </is>
      </c>
      <c r="J372" t="inlineStr">
        <is>
          <t>Critical</t>
        </is>
      </c>
      <c r="K372" t="inlineStr">
        <is>
          <t>Delivered</t>
        </is>
      </c>
      <c r="L372" t="n">
        <v>192.12</v>
      </c>
      <c r="M372" t="n">
        <v>1241</v>
      </c>
      <c r="N372" t="n">
        <v>36.76</v>
      </c>
      <c r="O372" t="n">
        <v>420.64</v>
      </c>
      <c r="P372" t="n">
        <v>1001.92</v>
      </c>
      <c r="Q372">
        <f>ROUND(L372*M372*N372/1000+O372+P372,2)</f>
        <v/>
      </c>
      <c r="R372" t="inlineStr">
        <is>
          <t>Yes</t>
        </is>
      </c>
      <c r="S372">
        <f>IF(OR(E372="",D372=""),"",MAX(0,E372-D372))</f>
        <v/>
      </c>
      <c r="T372" t="inlineStr">
        <is>
          <t>Yes</t>
        </is>
      </c>
      <c r="U372" t="n">
        <v>3</v>
      </c>
      <c r="V372" t="inlineStr">
        <is>
          <t>Pending</t>
        </is>
      </c>
      <c r="W372" t="n">
        <v>5</v>
      </c>
      <c r="X372" t="inlineStr">
        <is>
          <t>Weather</t>
        </is>
      </c>
    </row>
    <row r="373">
      <c r="A373" t="inlineStr">
        <is>
          <t>ORD-2026-00372</t>
        </is>
      </c>
      <c r="B373" t="inlineStr">
        <is>
          <t>CUST-0052</t>
        </is>
      </c>
      <c r="C373" s="3" t="n">
        <v>46077</v>
      </c>
      <c r="D373" s="3" t="n">
        <v>46085</v>
      </c>
      <c r="E373" s="3" t="n">
        <v>46085</v>
      </c>
      <c r="F373" t="inlineStr">
        <is>
          <t>Hyderabad</t>
        </is>
      </c>
      <c r="G373" t="inlineStr">
        <is>
          <t>Jaipur</t>
        </is>
      </c>
      <c r="H373" t="inlineStr">
        <is>
          <t>DHL</t>
        </is>
      </c>
      <c r="I373" t="inlineStr">
        <is>
          <t>Truck</t>
        </is>
      </c>
      <c r="J373" t="inlineStr">
        <is>
          <t>Normal</t>
        </is>
      </c>
      <c r="K373" t="inlineStr">
        <is>
          <t>Delivered</t>
        </is>
      </c>
      <c r="L373" t="n">
        <v>2022.43</v>
      </c>
      <c r="M373" t="n">
        <v>1781</v>
      </c>
      <c r="N373" t="n">
        <v>61.27</v>
      </c>
      <c r="O373" t="n">
        <v>16242.2</v>
      </c>
      <c r="P373" t="n">
        <v>108.62</v>
      </c>
      <c r="Q373">
        <f>ROUND(L373*M373*N373/1000+O373+P373,2)</f>
        <v/>
      </c>
      <c r="R373" t="inlineStr">
        <is>
          <t>Yes</t>
        </is>
      </c>
      <c r="S373">
        <f>IF(OR(E373="",D373=""),"",MAX(0,E373-D373))</f>
        <v/>
      </c>
      <c r="T373" t="inlineStr">
        <is>
          <t>No</t>
        </is>
      </c>
      <c r="U373" t="n">
        <v>56</v>
      </c>
      <c r="V373" t="inlineStr">
        <is>
          <t>Failed</t>
        </is>
      </c>
      <c r="W373" t="n">
        <v>3</v>
      </c>
      <c r="X373" t="inlineStr">
        <is>
          <t>Customer Unavailable</t>
        </is>
      </c>
    </row>
    <row r="374">
      <c r="A374" t="inlineStr">
        <is>
          <t>ORD-2026-00373</t>
        </is>
      </c>
      <c r="B374" t="inlineStr">
        <is>
          <t>CUST-0104</t>
        </is>
      </c>
      <c r="C374" s="3" t="n">
        <v>46235</v>
      </c>
      <c r="D374" s="3" t="n">
        <v>46237</v>
      </c>
      <c r="E374" s="3" t="n">
        <v>46238</v>
      </c>
      <c r="F374" t="inlineStr">
        <is>
          <t>Bengaluru</t>
        </is>
      </c>
      <c r="G374" t="inlineStr">
        <is>
          <t>Mumbai</t>
        </is>
      </c>
      <c r="H374" t="inlineStr">
        <is>
          <t>DHL</t>
        </is>
      </c>
      <c r="I374" t="inlineStr">
        <is>
          <t>Truck</t>
        </is>
      </c>
      <c r="J374" t="inlineStr">
        <is>
          <t>Low</t>
        </is>
      </c>
      <c r="K374" t="inlineStr">
        <is>
          <t>Delivered</t>
        </is>
      </c>
      <c r="L374" t="n">
        <v>667.7</v>
      </c>
      <c r="M374" t="n">
        <v>1180</v>
      </c>
      <c r="N374" t="n">
        <v>44.82</v>
      </c>
      <c r="O374" t="n">
        <v>1602.75</v>
      </c>
      <c r="P374" t="n">
        <v>909.8200000000001</v>
      </c>
      <c r="Q374">
        <f>ROUND(L374*M374*N374/1000+O374+P374,2)</f>
        <v/>
      </c>
      <c r="R374" t="inlineStr">
        <is>
          <t>No</t>
        </is>
      </c>
      <c r="S374">
        <f>IF(OR(E374="",D374=""),"",MAX(0,E374-D374))</f>
        <v/>
      </c>
      <c r="T374" t="inlineStr">
        <is>
          <t>Yes</t>
        </is>
      </c>
      <c r="U374" t="n">
        <v>40</v>
      </c>
      <c r="V374" t="inlineStr">
        <is>
          <t>Failed</t>
        </is>
      </c>
      <c r="W374" t="n">
        <v>4</v>
      </c>
      <c r="X374" t="inlineStr">
        <is>
          <t>Customs</t>
        </is>
      </c>
    </row>
    <row r="375">
      <c r="A375" t="inlineStr">
        <is>
          <t>ORD-2026-00374</t>
        </is>
      </c>
      <c r="B375" t="inlineStr">
        <is>
          <t>CUST-0046</t>
        </is>
      </c>
      <c r="C375" s="3" t="n">
        <v>46134</v>
      </c>
      <c r="D375" s="3" t="n">
        <v>46141</v>
      </c>
      <c r="E375" s="3" t="n"/>
      <c r="F375" t="inlineStr">
        <is>
          <t>Ahmedabad</t>
        </is>
      </c>
      <c r="G375" t="inlineStr">
        <is>
          <t>Jaipur</t>
        </is>
      </c>
      <c r="H375" t="inlineStr">
        <is>
          <t>Aramex</t>
        </is>
      </c>
      <c r="I375" t="inlineStr">
        <is>
          <t>Van</t>
        </is>
      </c>
      <c r="J375" t="inlineStr">
        <is>
          <t>Low</t>
        </is>
      </c>
      <c r="K375" t="inlineStr">
        <is>
          <t>Booked</t>
        </is>
      </c>
      <c r="L375" t="n">
        <v>682.14</v>
      </c>
      <c r="M375" t="n">
        <v>124</v>
      </c>
      <c r="N375" t="n">
        <v>22.73</v>
      </c>
      <c r="O375" t="n">
        <v>150.37</v>
      </c>
      <c r="P375" t="n">
        <v>994.83</v>
      </c>
      <c r="Q375">
        <f>ROUND(L375*M375*N375/1000+O375+P375,2)</f>
        <v/>
      </c>
      <c r="R375" t="inlineStr">
        <is>
          <t>No</t>
        </is>
      </c>
      <c r="S375">
        <f>IF(OR(E375="",D375=""),"",MAX(0,E375-D375))</f>
        <v/>
      </c>
      <c r="T375" t="inlineStr">
        <is>
          <t>Yes</t>
        </is>
      </c>
      <c r="U375" t="n">
        <v>41</v>
      </c>
      <c r="V375" t="inlineStr">
        <is>
          <t>COD</t>
        </is>
      </c>
      <c r="W375" t="n">
        <v>1</v>
      </c>
      <c r="X375" t="inlineStr">
        <is>
          <t>Weather</t>
        </is>
      </c>
    </row>
    <row r="376">
      <c r="A376" t="inlineStr">
        <is>
          <t>ORD-2026-00375</t>
        </is>
      </c>
      <c r="B376" t="inlineStr">
        <is>
          <t>CUST-0134</t>
        </is>
      </c>
      <c r="C376" s="3" t="n">
        <v>46116</v>
      </c>
      <c r="D376" s="3" t="n">
        <v>46118</v>
      </c>
      <c r="E376" s="3" t="n">
        <v>46118</v>
      </c>
      <c r="F376" t="inlineStr">
        <is>
          <t>Kolkata</t>
        </is>
      </c>
      <c r="G376" t="inlineStr">
        <is>
          <t>Surat</t>
        </is>
      </c>
      <c r="H376" t="inlineStr">
        <is>
          <t>FedEx</t>
        </is>
      </c>
      <c r="I376" t="inlineStr">
        <is>
          <t>Container</t>
        </is>
      </c>
      <c r="J376" t="inlineStr">
        <is>
          <t>Low</t>
        </is>
      </c>
      <c r="K376" t="inlineStr">
        <is>
          <t>Delivered</t>
        </is>
      </c>
      <c r="L376" t="n">
        <v>2106.95</v>
      </c>
      <c r="M376" t="n">
        <v>971</v>
      </c>
      <c r="N376" t="n">
        <v>14.38</v>
      </c>
      <c r="O376" t="n">
        <v>2179.05</v>
      </c>
      <c r="P376" t="n">
        <v>1400.74</v>
      </c>
      <c r="Q376">
        <f>ROUND(L376*M376*N376/1000+O376+P376,2)</f>
        <v/>
      </c>
      <c r="R376" t="inlineStr">
        <is>
          <t>Yes</t>
        </is>
      </c>
      <c r="S376">
        <f>IF(OR(E376="",D376=""),"",MAX(0,E376-D376))</f>
        <v/>
      </c>
      <c r="T376" t="inlineStr">
        <is>
          <t>Yes</t>
        </is>
      </c>
      <c r="U376" t="n">
        <v>77</v>
      </c>
      <c r="V376" t="inlineStr">
        <is>
          <t>Paid</t>
        </is>
      </c>
      <c r="W376" t="n">
        <v>3</v>
      </c>
      <c r="X376" t="inlineStr">
        <is>
          <t>Vehicle Breakdown</t>
        </is>
      </c>
    </row>
    <row r="377">
      <c r="A377" t="inlineStr">
        <is>
          <t>ORD-2026-00376</t>
        </is>
      </c>
      <c r="B377" t="inlineStr">
        <is>
          <t>CUST-0113</t>
        </is>
      </c>
      <c r="C377" s="3" t="n">
        <v>46236</v>
      </c>
      <c r="D377" s="3" t="n">
        <v>46243</v>
      </c>
      <c r="E377" s="3" t="n">
        <v>46245</v>
      </c>
      <c r="F377" t="inlineStr">
        <is>
          <t>Chennai</t>
        </is>
      </c>
      <c r="G377" t="inlineStr">
        <is>
          <t>Pune</t>
        </is>
      </c>
      <c r="H377" t="inlineStr">
        <is>
          <t>Aramex</t>
        </is>
      </c>
      <c r="I377" t="inlineStr">
        <is>
          <t>Bike</t>
        </is>
      </c>
      <c r="J377" t="inlineStr">
        <is>
          <t>Low</t>
        </is>
      </c>
      <c r="K377" t="inlineStr">
        <is>
          <t>Delivered</t>
        </is>
      </c>
      <c r="L377" t="n">
        <v>2338.78</v>
      </c>
      <c r="M377" t="n">
        <v>897</v>
      </c>
      <c r="N377" t="n">
        <v>16.22</v>
      </c>
      <c r="O377" t="n">
        <v>1378.44</v>
      </c>
      <c r="P377" t="n">
        <v>1455.49</v>
      </c>
      <c r="Q377">
        <f>ROUND(L377*M377*N377/1000+O377+P377,2)</f>
        <v/>
      </c>
      <c r="R377" t="inlineStr">
        <is>
          <t>No</t>
        </is>
      </c>
      <c r="S377">
        <f>IF(OR(E377="",D377=""),"",MAX(0,E377-D377))</f>
        <v/>
      </c>
      <c r="T377" t="inlineStr">
        <is>
          <t>No</t>
        </is>
      </c>
      <c r="U377" t="n">
        <v>69</v>
      </c>
      <c r="V377" t="inlineStr">
        <is>
          <t>COD</t>
        </is>
      </c>
      <c r="W377" t="n">
        <v>1</v>
      </c>
      <c r="X377" t="inlineStr">
        <is>
          <t>Vehicle Breakdown</t>
        </is>
      </c>
    </row>
    <row r="378">
      <c r="A378" t="inlineStr">
        <is>
          <t>ORD-2026-00377</t>
        </is>
      </c>
      <c r="B378" t="inlineStr">
        <is>
          <t>CUST-0006</t>
        </is>
      </c>
      <c r="C378" s="3" t="n">
        <v>46162</v>
      </c>
      <c r="D378" s="3" t="n">
        <v>46169</v>
      </c>
      <c r="E378" s="3" t="n">
        <v>46169</v>
      </c>
      <c r="F378" t="inlineStr">
        <is>
          <t>Kolkata</t>
        </is>
      </c>
      <c r="G378" t="inlineStr">
        <is>
          <t>Ahmedabad</t>
        </is>
      </c>
      <c r="H378" t="inlineStr">
        <is>
          <t>Aramex</t>
        </is>
      </c>
      <c r="I378" t="inlineStr">
        <is>
          <t>Van</t>
        </is>
      </c>
      <c r="J378" t="inlineStr">
        <is>
          <t>Normal</t>
        </is>
      </c>
      <c r="K378" t="inlineStr">
        <is>
          <t>Delivered</t>
        </is>
      </c>
      <c r="L378" t="n">
        <v>694.7</v>
      </c>
      <c r="M378" t="n">
        <v>598</v>
      </c>
      <c r="N378" t="n">
        <v>28.69</v>
      </c>
      <c r="O378" t="n">
        <v>869.35</v>
      </c>
      <c r="P378" t="n">
        <v>1235.62</v>
      </c>
      <c r="Q378">
        <f>ROUND(L378*M378*N378/1000+O378+P378,2)</f>
        <v/>
      </c>
      <c r="R378" t="inlineStr">
        <is>
          <t>Yes</t>
        </is>
      </c>
      <c r="S378">
        <f>IF(OR(E378="",D378=""),"",MAX(0,E378-D378))</f>
        <v/>
      </c>
      <c r="T378" t="inlineStr">
        <is>
          <t>No</t>
        </is>
      </c>
      <c r="U378" t="n">
        <v>71</v>
      </c>
      <c r="V378" t="inlineStr">
        <is>
          <t>Failed</t>
        </is>
      </c>
      <c r="W378" t="n">
        <v>3</v>
      </c>
      <c r="X378" t="inlineStr">
        <is>
          <t>Damaged Package</t>
        </is>
      </c>
    </row>
    <row r="379">
      <c r="A379" t="inlineStr">
        <is>
          <t>ORD-2026-00378</t>
        </is>
      </c>
      <c r="B379" t="inlineStr">
        <is>
          <t>CUST-0101</t>
        </is>
      </c>
      <c r="C379" s="3" t="n">
        <v>46202</v>
      </c>
      <c r="D379" s="3" t="n">
        <v>46208</v>
      </c>
      <c r="E379" s="3" t="n">
        <v>46213</v>
      </c>
      <c r="F379" t="inlineStr">
        <is>
          <t>Pune</t>
        </is>
      </c>
      <c r="G379" t="inlineStr">
        <is>
          <t>Pune</t>
        </is>
      </c>
      <c r="H379" t="inlineStr">
        <is>
          <t>BlueDart</t>
        </is>
      </c>
      <c r="I379" t="inlineStr">
        <is>
          <t>Truck</t>
        </is>
      </c>
      <c r="J379" t="inlineStr">
        <is>
          <t>High</t>
        </is>
      </c>
      <c r="K379" t="inlineStr">
        <is>
          <t>Delivered</t>
        </is>
      </c>
      <c r="L379" t="n">
        <v>1337.51</v>
      </c>
      <c r="M379" t="n">
        <v>973</v>
      </c>
      <c r="N379" t="n">
        <v>56.89</v>
      </c>
      <c r="O379" t="n">
        <v>3946.76</v>
      </c>
      <c r="P379" t="n">
        <v>1366.49</v>
      </c>
      <c r="Q379">
        <f>ROUND(L379*M379*N379/1000+O379+P379,2)</f>
        <v/>
      </c>
      <c r="R379" t="inlineStr">
        <is>
          <t>No</t>
        </is>
      </c>
      <c r="S379">
        <f>IF(OR(E379="",D379=""),"",MAX(0,E379-D379))</f>
        <v/>
      </c>
      <c r="T379" t="inlineStr">
        <is>
          <t>Yes</t>
        </is>
      </c>
      <c r="U379" t="n">
        <v>21</v>
      </c>
      <c r="V379" t="inlineStr">
        <is>
          <t>Failed</t>
        </is>
      </c>
      <c r="W379" t="n">
        <v>3</v>
      </c>
      <c r="X379" t="inlineStr">
        <is>
          <t>Customer Unavailable</t>
        </is>
      </c>
    </row>
    <row r="380">
      <c r="A380" t="inlineStr">
        <is>
          <t>ORD-2026-00379</t>
        </is>
      </c>
      <c r="B380" t="inlineStr">
        <is>
          <t>CUST-0184</t>
        </is>
      </c>
      <c r="C380" s="3" t="n">
        <v>46219</v>
      </c>
      <c r="D380" s="3" t="n">
        <v>46226</v>
      </c>
      <c r="E380" s="3" t="n">
        <v>46228</v>
      </c>
      <c r="F380" t="inlineStr">
        <is>
          <t>Chennai</t>
        </is>
      </c>
      <c r="G380" t="inlineStr">
        <is>
          <t>Mumbai</t>
        </is>
      </c>
      <c r="H380" t="inlineStr">
        <is>
          <t>Aramex</t>
        </is>
      </c>
      <c r="I380" t="inlineStr">
        <is>
          <t>Truck</t>
        </is>
      </c>
      <c r="J380" t="inlineStr">
        <is>
          <t>High</t>
        </is>
      </c>
      <c r="K380" t="inlineStr">
        <is>
          <t>Delivered</t>
        </is>
      </c>
      <c r="L380" t="n">
        <v>200.7</v>
      </c>
      <c r="M380" t="n">
        <v>2018</v>
      </c>
      <c r="N380" t="n">
        <v>34.85</v>
      </c>
      <c r="O380" t="n">
        <v>773.17</v>
      </c>
      <c r="P380" t="n">
        <v>1264.92</v>
      </c>
      <c r="Q380">
        <f>ROUND(L380*M380*N380/1000+O380+P380,2)</f>
        <v/>
      </c>
      <c r="R380" t="inlineStr">
        <is>
          <t>No</t>
        </is>
      </c>
      <c r="S380">
        <f>IF(OR(E380="",D380=""),"",MAX(0,E380-D380))</f>
        <v/>
      </c>
      <c r="T380" t="inlineStr">
        <is>
          <t>Yes</t>
        </is>
      </c>
      <c r="U380" t="n">
        <v>46</v>
      </c>
      <c r="V380" t="inlineStr">
        <is>
          <t>Failed</t>
        </is>
      </c>
      <c r="W380" t="n">
        <v>5</v>
      </c>
      <c r="X380" t="inlineStr">
        <is>
          <t>Damaged Package</t>
        </is>
      </c>
    </row>
    <row r="381">
      <c r="A381" t="inlineStr">
        <is>
          <t>ORD-2026-00380</t>
        </is>
      </c>
      <c r="B381" t="inlineStr">
        <is>
          <t>CUST-0103</t>
        </is>
      </c>
      <c r="C381" s="3" t="n">
        <v>46231</v>
      </c>
      <c r="D381" s="3" t="n">
        <v>46237</v>
      </c>
      <c r="E381" s="3" t="n"/>
      <c r="F381" t="inlineStr">
        <is>
          <t>Bengaluru</t>
        </is>
      </c>
      <c r="G381" t="inlineStr">
        <is>
          <t>Pune</t>
        </is>
      </c>
      <c r="H381" t="inlineStr">
        <is>
          <t>FedEx</t>
        </is>
      </c>
      <c r="I381" t="inlineStr">
        <is>
          <t>Bike</t>
        </is>
      </c>
      <c r="J381" t="inlineStr">
        <is>
          <t>Low</t>
        </is>
      </c>
      <c r="K381" t="inlineStr">
        <is>
          <t>In Transit</t>
        </is>
      </c>
      <c r="L381" t="n">
        <v>1603.61</v>
      </c>
      <c r="M381" t="n">
        <v>757</v>
      </c>
      <c r="N381" t="n">
        <v>43.92</v>
      </c>
      <c r="O381" t="n">
        <v>4129.91</v>
      </c>
      <c r="P381" t="n">
        <v>221.42</v>
      </c>
      <c r="Q381">
        <f>ROUND(L381*M381*N381/1000+O381+P381,2)</f>
        <v/>
      </c>
      <c r="R381" t="inlineStr">
        <is>
          <t>No</t>
        </is>
      </c>
      <c r="S381">
        <f>IF(OR(E381="",D381=""),"",MAX(0,E381-D381))</f>
        <v/>
      </c>
      <c r="T381" t="inlineStr">
        <is>
          <t>Yes</t>
        </is>
      </c>
      <c r="U381" t="n">
        <v>21</v>
      </c>
      <c r="V381" t="inlineStr">
        <is>
          <t>Pending</t>
        </is>
      </c>
      <c r="W381" t="n">
        <v>5</v>
      </c>
      <c r="X381" t="inlineStr">
        <is>
          <t>Damaged Package</t>
        </is>
      </c>
    </row>
    <row r="382">
      <c r="A382" t="inlineStr">
        <is>
          <t>ORD-2026-00381</t>
        </is>
      </c>
      <c r="B382" t="inlineStr">
        <is>
          <t>CUST-0045</t>
        </is>
      </c>
      <c r="C382" s="3" t="n">
        <v>46219</v>
      </c>
      <c r="D382" s="3" t="n">
        <v>46222</v>
      </c>
      <c r="E382" s="3" t="n">
        <v>46225</v>
      </c>
      <c r="F382" t="inlineStr">
        <is>
          <t>Kolkata</t>
        </is>
      </c>
      <c r="G382" t="inlineStr">
        <is>
          <t>Hyderabad</t>
        </is>
      </c>
      <c r="H382" t="inlineStr">
        <is>
          <t>Aramex</t>
        </is>
      </c>
      <c r="I382" t="inlineStr">
        <is>
          <t>Refrigerated Truck</t>
        </is>
      </c>
      <c r="J382" t="inlineStr">
        <is>
          <t>Normal</t>
        </is>
      </c>
      <c r="K382" t="inlineStr">
        <is>
          <t>Delivered</t>
        </is>
      </c>
      <c r="L382" t="n">
        <v>1981.71</v>
      </c>
      <c r="M382" t="n">
        <v>1313</v>
      </c>
      <c r="N382" t="n">
        <v>33.73</v>
      </c>
      <c r="O382" t="n">
        <v>7232.74</v>
      </c>
      <c r="P382" t="n">
        <v>217.59</v>
      </c>
      <c r="Q382">
        <f>ROUND(L382*M382*N382/1000+O382+P382,2)</f>
        <v/>
      </c>
      <c r="R382" t="inlineStr">
        <is>
          <t>No</t>
        </is>
      </c>
      <c r="S382">
        <f>IF(OR(E382="",D382=""),"",MAX(0,E382-D382))</f>
        <v/>
      </c>
      <c r="T382" t="inlineStr">
        <is>
          <t>Yes</t>
        </is>
      </c>
      <c r="U382" t="n">
        <v>54</v>
      </c>
      <c r="V382" t="inlineStr">
        <is>
          <t>COD</t>
        </is>
      </c>
      <c r="W382" t="n">
        <v>2</v>
      </c>
      <c r="X382" t="inlineStr">
        <is>
          <t>Weather</t>
        </is>
      </c>
    </row>
    <row r="383">
      <c r="A383" t="inlineStr">
        <is>
          <t>ORD-2026-00382</t>
        </is>
      </c>
      <c r="B383" t="inlineStr">
        <is>
          <t>CUST-0103</t>
        </is>
      </c>
      <c r="C383" s="3" t="n">
        <v>46119</v>
      </c>
      <c r="D383" s="3" t="n">
        <v>46123</v>
      </c>
      <c r="E383" s="3" t="n"/>
      <c r="F383" t="inlineStr">
        <is>
          <t>Kolkata</t>
        </is>
      </c>
      <c r="G383" t="inlineStr">
        <is>
          <t>Chennai</t>
        </is>
      </c>
      <c r="H383" t="inlineStr">
        <is>
          <t>DTDC</t>
        </is>
      </c>
      <c r="I383" t="inlineStr">
        <is>
          <t>Refrigerated Truck</t>
        </is>
      </c>
      <c r="J383" t="inlineStr">
        <is>
          <t>Normal</t>
        </is>
      </c>
      <c r="K383" t="inlineStr">
        <is>
          <t>Booked</t>
        </is>
      </c>
      <c r="L383" t="n">
        <v>2267.16</v>
      </c>
      <c r="M383" t="n">
        <v>1899</v>
      </c>
      <c r="N383" t="n">
        <v>19.3</v>
      </c>
      <c r="O383" t="n">
        <v>5988.98</v>
      </c>
      <c r="P383" t="n">
        <v>269.76</v>
      </c>
      <c r="Q383">
        <f>ROUND(L383*M383*N383/1000+O383+P383,2)</f>
        <v/>
      </c>
      <c r="R383" t="inlineStr">
        <is>
          <t>No</t>
        </is>
      </c>
      <c r="S383">
        <f>IF(OR(E383="",D383=""),"",MAX(0,E383-D383))</f>
        <v/>
      </c>
      <c r="T383" t="inlineStr">
        <is>
          <t>Yes</t>
        </is>
      </c>
      <c r="U383" t="n">
        <v>48</v>
      </c>
      <c r="V383" t="inlineStr">
        <is>
          <t>Pending</t>
        </is>
      </c>
      <c r="W383" t="n">
        <v>5</v>
      </c>
      <c r="X383" t="inlineStr">
        <is>
          <t>None</t>
        </is>
      </c>
    </row>
    <row r="384">
      <c r="A384" t="inlineStr">
        <is>
          <t>ORD-2026-00383</t>
        </is>
      </c>
      <c r="B384" t="inlineStr">
        <is>
          <t>CUST-0221</t>
        </is>
      </c>
      <c r="C384" s="3" t="n">
        <v>46026</v>
      </c>
      <c r="D384" s="3" t="n">
        <v>46033</v>
      </c>
      <c r="E384" s="3" t="n">
        <v>46035</v>
      </c>
      <c r="F384" t="inlineStr">
        <is>
          <t>Pune</t>
        </is>
      </c>
      <c r="G384" t="inlineStr">
        <is>
          <t>Pune</t>
        </is>
      </c>
      <c r="H384" t="inlineStr">
        <is>
          <t>Maersk</t>
        </is>
      </c>
      <c r="I384" t="inlineStr">
        <is>
          <t>Container</t>
        </is>
      </c>
      <c r="J384" t="inlineStr">
        <is>
          <t>Critical</t>
        </is>
      </c>
      <c r="K384" t="inlineStr">
        <is>
          <t>Delivered</t>
        </is>
      </c>
      <c r="L384" t="n">
        <v>2068.23</v>
      </c>
      <c r="M384" t="n">
        <v>2029</v>
      </c>
      <c r="N384" t="n">
        <v>14.76</v>
      </c>
      <c r="O384" t="n">
        <v>4510.05</v>
      </c>
      <c r="P384" t="n">
        <v>302.01</v>
      </c>
      <c r="Q384">
        <f>ROUND(L384*M384*N384/1000+O384+P384,2)</f>
        <v/>
      </c>
      <c r="R384" t="inlineStr">
        <is>
          <t>No</t>
        </is>
      </c>
      <c r="S384">
        <f>IF(OR(E384="",D384=""),"",MAX(0,E384-D384))</f>
        <v/>
      </c>
      <c r="T384" t="inlineStr">
        <is>
          <t>Yes</t>
        </is>
      </c>
      <c r="U384" t="n">
        <v>56</v>
      </c>
      <c r="V384" t="inlineStr">
        <is>
          <t>Pending</t>
        </is>
      </c>
      <c r="W384" t="n">
        <v>5</v>
      </c>
      <c r="X384" t="inlineStr">
        <is>
          <t>Address Error</t>
        </is>
      </c>
    </row>
    <row r="385">
      <c r="A385" t="inlineStr">
        <is>
          <t>ORD-2026-00384</t>
        </is>
      </c>
      <c r="B385" t="inlineStr">
        <is>
          <t>CUST-0116</t>
        </is>
      </c>
      <c r="C385" s="3" t="n">
        <v>46233</v>
      </c>
      <c r="D385" s="3" t="n">
        <v>46238</v>
      </c>
      <c r="E385" s="3" t="n">
        <v>46239</v>
      </c>
      <c r="F385" t="inlineStr">
        <is>
          <t>Bengaluru</t>
        </is>
      </c>
      <c r="G385" t="inlineStr">
        <is>
          <t>Hyderabad</t>
        </is>
      </c>
      <c r="H385" t="inlineStr">
        <is>
          <t>DTDC</t>
        </is>
      </c>
      <c r="I385" t="inlineStr">
        <is>
          <t>Container</t>
        </is>
      </c>
      <c r="J385" t="inlineStr">
        <is>
          <t>Low</t>
        </is>
      </c>
      <c r="K385" t="inlineStr">
        <is>
          <t>Delivered</t>
        </is>
      </c>
      <c r="L385" t="n">
        <v>451.33</v>
      </c>
      <c r="M385" t="n">
        <v>602</v>
      </c>
      <c r="N385" t="n">
        <v>9.640000000000001</v>
      </c>
      <c r="O385" t="n">
        <v>231.98</v>
      </c>
      <c r="P385" t="n">
        <v>368.52</v>
      </c>
      <c r="Q385">
        <f>ROUND(L385*M385*N385/1000+O385+P385,2)</f>
        <v/>
      </c>
      <c r="R385" t="inlineStr">
        <is>
          <t>No</t>
        </is>
      </c>
      <c r="S385">
        <f>IF(OR(E385="",D385=""),"",MAX(0,E385-D385))</f>
        <v/>
      </c>
      <c r="T385" t="inlineStr">
        <is>
          <t>Yes</t>
        </is>
      </c>
      <c r="U385" t="n">
        <v>61</v>
      </c>
      <c r="V385" t="inlineStr">
        <is>
          <t>Pending</t>
        </is>
      </c>
      <c r="W385" t="n">
        <v>3</v>
      </c>
      <c r="X385" t="inlineStr">
        <is>
          <t>Damaged Package</t>
        </is>
      </c>
    </row>
    <row r="386">
      <c r="A386" t="inlineStr">
        <is>
          <t>ORD-2026-00385</t>
        </is>
      </c>
      <c r="B386" t="inlineStr">
        <is>
          <t>CUST-0239</t>
        </is>
      </c>
      <c r="C386" s="3" t="n">
        <v>46124</v>
      </c>
      <c r="D386" s="3" t="n">
        <v>46128</v>
      </c>
      <c r="E386" s="3" t="n">
        <v>46129</v>
      </c>
      <c r="F386" t="inlineStr">
        <is>
          <t>Bengaluru</t>
        </is>
      </c>
      <c r="G386" t="inlineStr">
        <is>
          <t>Jaipur</t>
        </is>
      </c>
      <c r="H386" t="inlineStr">
        <is>
          <t>FedEx</t>
        </is>
      </c>
      <c r="I386" t="inlineStr">
        <is>
          <t>Bike</t>
        </is>
      </c>
      <c r="J386" t="inlineStr">
        <is>
          <t>Low</t>
        </is>
      </c>
      <c r="K386" t="inlineStr">
        <is>
          <t>Delivered</t>
        </is>
      </c>
      <c r="L386" t="n">
        <v>1840.39</v>
      </c>
      <c r="M386" t="n">
        <v>1054</v>
      </c>
      <c r="N386" t="n">
        <v>12.16</v>
      </c>
      <c r="O386" t="n">
        <v>1495.93</v>
      </c>
      <c r="P386" t="n">
        <v>97.13</v>
      </c>
      <c r="Q386">
        <f>ROUND(L386*M386*N386/1000+O386+P386,2)</f>
        <v/>
      </c>
      <c r="R386" t="inlineStr">
        <is>
          <t>No</t>
        </is>
      </c>
      <c r="S386">
        <f>IF(OR(E386="",D386=""),"",MAX(0,E386-D386))</f>
        <v/>
      </c>
      <c r="T386" t="inlineStr">
        <is>
          <t>Yes</t>
        </is>
      </c>
      <c r="U386" t="n">
        <v>33</v>
      </c>
      <c r="V386" t="inlineStr">
        <is>
          <t>Failed</t>
        </is>
      </c>
      <c r="W386" t="n">
        <v>3</v>
      </c>
      <c r="X386" t="inlineStr">
        <is>
          <t>Weather</t>
        </is>
      </c>
    </row>
    <row r="387">
      <c r="A387" t="inlineStr">
        <is>
          <t>ORD-2026-00386</t>
        </is>
      </c>
      <c r="B387" t="inlineStr">
        <is>
          <t>CUST-0225</t>
        </is>
      </c>
      <c r="C387" s="3" t="n">
        <v>46194</v>
      </c>
      <c r="D387" s="3" t="n">
        <v>46200</v>
      </c>
      <c r="E387" s="3" t="n">
        <v>46200</v>
      </c>
      <c r="F387" t="inlineStr">
        <is>
          <t>Jaipur</t>
        </is>
      </c>
      <c r="G387" t="inlineStr">
        <is>
          <t>Delhi</t>
        </is>
      </c>
      <c r="H387" t="inlineStr">
        <is>
          <t>BlueDart</t>
        </is>
      </c>
      <c r="I387" t="inlineStr">
        <is>
          <t>Refrigerated Truck</t>
        </is>
      </c>
      <c r="J387" t="inlineStr">
        <is>
          <t>Critical</t>
        </is>
      </c>
      <c r="K387" t="inlineStr">
        <is>
          <t>Delivered</t>
        </is>
      </c>
      <c r="L387" t="n">
        <v>103.29</v>
      </c>
      <c r="M387" t="n">
        <v>739</v>
      </c>
      <c r="N387" t="n">
        <v>22.84</v>
      </c>
      <c r="O387" t="n">
        <v>105</v>
      </c>
      <c r="P387" t="n">
        <v>1396.88</v>
      </c>
      <c r="Q387">
        <f>ROUND(L387*M387*N387/1000+O387+P387,2)</f>
        <v/>
      </c>
      <c r="R387" t="inlineStr">
        <is>
          <t>Yes</t>
        </is>
      </c>
      <c r="S387">
        <f>IF(OR(E387="",D387=""),"",MAX(0,E387-D387))</f>
        <v/>
      </c>
      <c r="T387" t="inlineStr">
        <is>
          <t>Yes</t>
        </is>
      </c>
      <c r="U387" t="n">
        <v>34</v>
      </c>
      <c r="V387" t="inlineStr">
        <is>
          <t>Paid</t>
        </is>
      </c>
      <c r="W387" t="n">
        <v>3</v>
      </c>
      <c r="X387" t="inlineStr">
        <is>
          <t>None</t>
        </is>
      </c>
    </row>
    <row r="388">
      <c r="A388" t="inlineStr">
        <is>
          <t>ORD-2026-00387</t>
        </is>
      </c>
      <c r="B388" t="inlineStr">
        <is>
          <t>CUST-0195</t>
        </is>
      </c>
      <c r="C388" s="3" t="n">
        <v>46055</v>
      </c>
      <c r="D388" s="3" t="n">
        <v>46063</v>
      </c>
      <c r="E388" s="3" t="n">
        <v>46066</v>
      </c>
      <c r="F388" t="inlineStr">
        <is>
          <t>Pune</t>
        </is>
      </c>
      <c r="G388" t="inlineStr">
        <is>
          <t>Surat</t>
        </is>
      </c>
      <c r="H388" t="inlineStr">
        <is>
          <t>FedEx</t>
        </is>
      </c>
      <c r="I388" t="inlineStr">
        <is>
          <t>Container</t>
        </is>
      </c>
      <c r="J388" t="inlineStr">
        <is>
          <t>Normal</t>
        </is>
      </c>
      <c r="K388" t="inlineStr">
        <is>
          <t>Delivered</t>
        </is>
      </c>
      <c r="L388" t="n">
        <v>1869.68</v>
      </c>
      <c r="M388" t="n">
        <v>1766</v>
      </c>
      <c r="N388" t="n">
        <v>24.13</v>
      </c>
      <c r="O388" t="n">
        <v>6582.34</v>
      </c>
      <c r="P388" t="n">
        <v>927.14</v>
      </c>
      <c r="Q388">
        <f>ROUND(L388*M388*N388/1000+O388+P388,2)</f>
        <v/>
      </c>
      <c r="R388" t="inlineStr">
        <is>
          <t>No</t>
        </is>
      </c>
      <c r="S388">
        <f>IF(OR(E388="",D388=""),"",MAX(0,E388-D388))</f>
        <v/>
      </c>
      <c r="T388" t="inlineStr">
        <is>
          <t>No</t>
        </is>
      </c>
      <c r="U388" t="n">
        <v>63</v>
      </c>
      <c r="V388" t="inlineStr">
        <is>
          <t>Pending</t>
        </is>
      </c>
      <c r="W388" t="n">
        <v>5</v>
      </c>
      <c r="X388" t="inlineStr">
        <is>
          <t>Customer Unavailable</t>
        </is>
      </c>
    </row>
    <row r="389">
      <c r="A389" t="inlineStr">
        <is>
          <t>ORD-2026-00388</t>
        </is>
      </c>
      <c r="B389" t="inlineStr">
        <is>
          <t>CUST-0030</t>
        </is>
      </c>
      <c r="C389" s="3" t="n">
        <v>46191</v>
      </c>
      <c r="D389" s="3" t="n">
        <v>46199</v>
      </c>
      <c r="E389" s="3" t="n">
        <v>46199</v>
      </c>
      <c r="F389" t="inlineStr">
        <is>
          <t>Jaipur</t>
        </is>
      </c>
      <c r="G389" t="inlineStr">
        <is>
          <t>Ahmedabad</t>
        </is>
      </c>
      <c r="H389" t="inlineStr">
        <is>
          <t>Delhivery</t>
        </is>
      </c>
      <c r="I389" t="inlineStr">
        <is>
          <t>Refrigerated Truck</t>
        </is>
      </c>
      <c r="J389" t="inlineStr">
        <is>
          <t>Critical</t>
        </is>
      </c>
      <c r="K389" t="inlineStr">
        <is>
          <t>Delivered</t>
        </is>
      </c>
      <c r="L389" t="n">
        <v>575.04</v>
      </c>
      <c r="M389" t="n">
        <v>151</v>
      </c>
      <c r="N389" t="n">
        <v>34.8</v>
      </c>
      <c r="O389" t="n">
        <v>120.3</v>
      </c>
      <c r="P389" t="n">
        <v>711.36</v>
      </c>
      <c r="Q389">
        <f>ROUND(L389*M389*N389/1000+O389+P389,2)</f>
        <v/>
      </c>
      <c r="R389" t="inlineStr">
        <is>
          <t>Yes</t>
        </is>
      </c>
      <c r="S389">
        <f>IF(OR(E389="",D389=""),"",MAX(0,E389-D389))</f>
        <v/>
      </c>
      <c r="T389" t="inlineStr">
        <is>
          <t>No</t>
        </is>
      </c>
      <c r="U389" t="n">
        <v>64</v>
      </c>
      <c r="V389" t="inlineStr">
        <is>
          <t>Paid</t>
        </is>
      </c>
      <c r="W389" t="n">
        <v>2</v>
      </c>
      <c r="X389" t="inlineStr">
        <is>
          <t>None</t>
        </is>
      </c>
    </row>
    <row r="390">
      <c r="A390" t="inlineStr">
        <is>
          <t>ORD-2026-00389</t>
        </is>
      </c>
      <c r="B390" t="inlineStr">
        <is>
          <t>CUST-0055</t>
        </is>
      </c>
      <c r="C390" s="3" t="n">
        <v>46112</v>
      </c>
      <c r="D390" s="3" t="n">
        <v>46114</v>
      </c>
      <c r="E390" s="3" t="n">
        <v>46114</v>
      </c>
      <c r="F390" t="inlineStr">
        <is>
          <t>Kolkata</t>
        </is>
      </c>
      <c r="G390" t="inlineStr">
        <is>
          <t>Ahmedabad</t>
        </is>
      </c>
      <c r="H390" t="inlineStr">
        <is>
          <t>DTDC</t>
        </is>
      </c>
      <c r="I390" t="inlineStr">
        <is>
          <t>Bike</t>
        </is>
      </c>
      <c r="J390" t="inlineStr">
        <is>
          <t>Normal</t>
        </is>
      </c>
      <c r="K390" t="inlineStr">
        <is>
          <t>Delivered</t>
        </is>
      </c>
      <c r="L390" t="n">
        <v>2087.47</v>
      </c>
      <c r="M390" t="n">
        <v>2088</v>
      </c>
      <c r="N390" t="n">
        <v>54.89</v>
      </c>
      <c r="O390" t="n">
        <v>15262.64</v>
      </c>
      <c r="P390" t="n">
        <v>1001.44</v>
      </c>
      <c r="Q390">
        <f>ROUND(L390*M390*N390/1000+O390+P390,2)</f>
        <v/>
      </c>
      <c r="R390" t="inlineStr">
        <is>
          <t>Yes</t>
        </is>
      </c>
      <c r="S390">
        <f>IF(OR(E390="",D390=""),"",MAX(0,E390-D390))</f>
        <v/>
      </c>
      <c r="T390" t="inlineStr">
        <is>
          <t>No</t>
        </is>
      </c>
      <c r="U390" t="n">
        <v>10</v>
      </c>
      <c r="V390" t="inlineStr">
        <is>
          <t>Pending</t>
        </is>
      </c>
      <c r="W390" t="n">
        <v>4</v>
      </c>
      <c r="X390" t="inlineStr">
        <is>
          <t>Damaged Package</t>
        </is>
      </c>
    </row>
    <row r="391">
      <c r="A391" t="inlineStr">
        <is>
          <t>ORD-2026-00390</t>
        </is>
      </c>
      <c r="B391" t="inlineStr">
        <is>
          <t>CUST-0083</t>
        </is>
      </c>
      <c r="C391" s="3" t="n">
        <v>46047</v>
      </c>
      <c r="D391" s="3" t="n">
        <v>46053</v>
      </c>
      <c r="E391" s="3" t="n">
        <v>46053</v>
      </c>
      <c r="F391" t="inlineStr">
        <is>
          <t>Delhi</t>
        </is>
      </c>
      <c r="G391" t="inlineStr">
        <is>
          <t>Ahmedabad</t>
        </is>
      </c>
      <c r="H391" t="inlineStr">
        <is>
          <t>BlueDart</t>
        </is>
      </c>
      <c r="I391" t="inlineStr">
        <is>
          <t>Container</t>
        </is>
      </c>
      <c r="J391" t="inlineStr">
        <is>
          <t>Critical</t>
        </is>
      </c>
      <c r="K391" t="inlineStr">
        <is>
          <t>Delivered</t>
        </is>
      </c>
      <c r="L391" t="n">
        <v>1701.76</v>
      </c>
      <c r="M391" t="n">
        <v>1619</v>
      </c>
      <c r="N391" t="n">
        <v>29.29</v>
      </c>
      <c r="O391" t="n">
        <v>6919.79</v>
      </c>
      <c r="P391" t="n">
        <v>176.98</v>
      </c>
      <c r="Q391">
        <f>ROUND(L391*M391*N391/1000+O391+P391,2)</f>
        <v/>
      </c>
      <c r="R391" t="inlineStr">
        <is>
          <t>Yes</t>
        </is>
      </c>
      <c r="S391">
        <f>IF(OR(E391="",D391=""),"",MAX(0,E391-D391))</f>
        <v/>
      </c>
      <c r="T391" t="inlineStr">
        <is>
          <t>No</t>
        </is>
      </c>
      <c r="U391" t="n">
        <v>35</v>
      </c>
      <c r="V391" t="inlineStr">
        <is>
          <t>Paid</t>
        </is>
      </c>
      <c r="W391" t="n">
        <v>3</v>
      </c>
      <c r="X391" t="inlineStr">
        <is>
          <t>None</t>
        </is>
      </c>
    </row>
    <row r="392">
      <c r="A392" t="inlineStr">
        <is>
          <t>ORD-2026-00391</t>
        </is>
      </c>
      <c r="B392" t="inlineStr">
        <is>
          <t>CUST-0073</t>
        </is>
      </c>
      <c r="C392" s="3" t="n">
        <v>46190</v>
      </c>
      <c r="D392" s="3" t="n">
        <v>46198</v>
      </c>
      <c r="E392" s="3" t="n">
        <v>46198</v>
      </c>
      <c r="F392" t="inlineStr">
        <is>
          <t>Hyderabad</t>
        </is>
      </c>
      <c r="G392" t="inlineStr">
        <is>
          <t>Ahmedabad</t>
        </is>
      </c>
      <c r="H392" t="inlineStr">
        <is>
          <t>Maersk</t>
        </is>
      </c>
      <c r="I392" t="inlineStr">
        <is>
          <t>Van</t>
        </is>
      </c>
      <c r="J392" t="inlineStr">
        <is>
          <t>Critical</t>
        </is>
      </c>
      <c r="K392" t="inlineStr">
        <is>
          <t>Delivered</t>
        </is>
      </c>
      <c r="L392" t="n">
        <v>1835.93</v>
      </c>
      <c r="M392" t="n">
        <v>2336</v>
      </c>
      <c r="N392" t="n">
        <v>15.37</v>
      </c>
      <c r="O392" t="n">
        <v>5391.86</v>
      </c>
      <c r="P392" t="n">
        <v>1206.31</v>
      </c>
      <c r="Q392">
        <f>ROUND(L392*M392*N392/1000+O392+P392,2)</f>
        <v/>
      </c>
      <c r="R392" t="inlineStr">
        <is>
          <t>Yes</t>
        </is>
      </c>
      <c r="S392">
        <f>IF(OR(E392="",D392=""),"",MAX(0,E392-D392))</f>
        <v/>
      </c>
      <c r="T392" t="inlineStr">
        <is>
          <t>Yes</t>
        </is>
      </c>
      <c r="U392" t="n">
        <v>52</v>
      </c>
      <c r="V392" t="inlineStr">
        <is>
          <t>COD</t>
        </is>
      </c>
      <c r="W392" t="n">
        <v>2</v>
      </c>
      <c r="X392" t="inlineStr">
        <is>
          <t>Address Error</t>
        </is>
      </c>
    </row>
    <row r="393">
      <c r="A393" t="inlineStr">
        <is>
          <t>ORD-2026-00392</t>
        </is>
      </c>
      <c r="B393" t="inlineStr">
        <is>
          <t>CUST-0031</t>
        </is>
      </c>
      <c r="C393" s="3" t="n">
        <v>46220</v>
      </c>
      <c r="D393" s="3" t="n">
        <v>46227</v>
      </c>
      <c r="E393" s="3" t="n">
        <v>46227</v>
      </c>
      <c r="F393" t="inlineStr">
        <is>
          <t>Pune</t>
        </is>
      </c>
      <c r="G393" t="inlineStr">
        <is>
          <t>Jaipur</t>
        </is>
      </c>
      <c r="H393" t="inlineStr">
        <is>
          <t>Aramex</t>
        </is>
      </c>
      <c r="I393" t="inlineStr">
        <is>
          <t>Container</t>
        </is>
      </c>
      <c r="J393" t="inlineStr">
        <is>
          <t>High</t>
        </is>
      </c>
      <c r="K393" t="inlineStr">
        <is>
          <t>Delivered</t>
        </is>
      </c>
      <c r="L393" t="n">
        <v>407.77</v>
      </c>
      <c r="M393" t="n">
        <v>1653</v>
      </c>
      <c r="N393" t="n">
        <v>24.24</v>
      </c>
      <c r="O393" t="n">
        <v>1227.92</v>
      </c>
      <c r="P393" t="n">
        <v>988.02</v>
      </c>
      <c r="Q393">
        <f>ROUND(L393*M393*N393/1000+O393+P393,2)</f>
        <v/>
      </c>
      <c r="R393" t="inlineStr">
        <is>
          <t>Yes</t>
        </is>
      </c>
      <c r="S393">
        <f>IF(OR(E393="",D393=""),"",MAX(0,E393-D393))</f>
        <v/>
      </c>
      <c r="T393" t="inlineStr">
        <is>
          <t>Yes</t>
        </is>
      </c>
      <c r="U393" t="n">
        <v>46</v>
      </c>
      <c r="V393" t="inlineStr">
        <is>
          <t>Paid</t>
        </is>
      </c>
      <c r="W393" t="n">
        <v>3</v>
      </c>
      <c r="X393" t="inlineStr">
        <is>
          <t>Customs</t>
        </is>
      </c>
    </row>
    <row r="394">
      <c r="A394" t="inlineStr">
        <is>
          <t>ORD-2026-00393</t>
        </is>
      </c>
      <c r="B394" t="inlineStr">
        <is>
          <t>CUST-0158</t>
        </is>
      </c>
      <c r="C394" s="3" t="n">
        <v>46074</v>
      </c>
      <c r="D394" s="3" t="n">
        <v>46082</v>
      </c>
      <c r="E394" s="3" t="n">
        <v>46082</v>
      </c>
      <c r="F394" t="inlineStr">
        <is>
          <t>Delhi</t>
        </is>
      </c>
      <c r="G394" t="inlineStr">
        <is>
          <t>Chennai</t>
        </is>
      </c>
      <c r="H394" t="inlineStr">
        <is>
          <t>Maersk</t>
        </is>
      </c>
      <c r="I394" t="inlineStr">
        <is>
          <t>Container</t>
        </is>
      </c>
      <c r="J394" t="inlineStr">
        <is>
          <t>Low</t>
        </is>
      </c>
      <c r="K394" t="inlineStr">
        <is>
          <t>Delivered</t>
        </is>
      </c>
      <c r="L394" t="n">
        <v>671.5599999999999</v>
      </c>
      <c r="M394" t="n">
        <v>2463</v>
      </c>
      <c r="N394" t="n">
        <v>32.12</v>
      </c>
      <c r="O394" t="n">
        <v>4005.3</v>
      </c>
      <c r="P394" t="n">
        <v>1220.27</v>
      </c>
      <c r="Q394">
        <f>ROUND(L394*M394*N394/1000+O394+P394,2)</f>
        <v/>
      </c>
      <c r="R394" t="inlineStr">
        <is>
          <t>Yes</t>
        </is>
      </c>
      <c r="S394">
        <f>IF(OR(E394="",D394=""),"",MAX(0,E394-D394))</f>
        <v/>
      </c>
      <c r="T394" t="inlineStr">
        <is>
          <t>Yes</t>
        </is>
      </c>
      <c r="U394" t="n">
        <v>66</v>
      </c>
      <c r="V394" t="inlineStr">
        <is>
          <t>COD</t>
        </is>
      </c>
      <c r="W394" t="n">
        <v>4</v>
      </c>
      <c r="X394" t="inlineStr">
        <is>
          <t>Damaged Package</t>
        </is>
      </c>
    </row>
    <row r="395">
      <c r="A395" t="inlineStr">
        <is>
          <t>ORD-2026-00394</t>
        </is>
      </c>
      <c r="B395" t="inlineStr">
        <is>
          <t>CUST-0123</t>
        </is>
      </c>
      <c r="C395" s="3" t="n">
        <v>46080</v>
      </c>
      <c r="D395" s="3" t="n">
        <v>46083</v>
      </c>
      <c r="E395" s="3" t="n">
        <v>46088</v>
      </c>
      <c r="F395" t="inlineStr">
        <is>
          <t>Pune</t>
        </is>
      </c>
      <c r="G395" t="inlineStr">
        <is>
          <t>Delhi</t>
        </is>
      </c>
      <c r="H395" t="inlineStr">
        <is>
          <t>DHL</t>
        </is>
      </c>
      <c r="I395" t="inlineStr">
        <is>
          <t>Refrigerated Truck</t>
        </is>
      </c>
      <c r="J395" t="inlineStr">
        <is>
          <t>Normal</t>
        </is>
      </c>
      <c r="K395" t="inlineStr">
        <is>
          <t>Delivered</t>
        </is>
      </c>
      <c r="L395" t="n">
        <v>1618.24</v>
      </c>
      <c r="M395" t="n">
        <v>348</v>
      </c>
      <c r="N395" t="n">
        <v>24.57</v>
      </c>
      <c r="O395" t="n">
        <v>778.1900000000001</v>
      </c>
      <c r="P395" t="n">
        <v>1362.67</v>
      </c>
      <c r="Q395">
        <f>ROUND(L395*M395*N395/1000+O395+P395,2)</f>
        <v/>
      </c>
      <c r="R395" t="inlineStr">
        <is>
          <t>No</t>
        </is>
      </c>
      <c r="S395">
        <f>IF(OR(E395="",D395=""),"",MAX(0,E395-D395))</f>
        <v/>
      </c>
      <c r="T395" t="inlineStr">
        <is>
          <t>No</t>
        </is>
      </c>
      <c r="U395" t="n">
        <v>38</v>
      </c>
      <c r="V395" t="inlineStr">
        <is>
          <t>Paid</t>
        </is>
      </c>
      <c r="W395" t="n">
        <v>5</v>
      </c>
      <c r="X395" t="inlineStr">
        <is>
          <t>None</t>
        </is>
      </c>
    </row>
    <row r="396">
      <c r="A396" t="inlineStr">
        <is>
          <t>ORD-2026-00395</t>
        </is>
      </c>
      <c r="B396" t="inlineStr">
        <is>
          <t>CUST-0197</t>
        </is>
      </c>
      <c r="C396" s="3" t="n">
        <v>46034</v>
      </c>
      <c r="D396" s="3" t="n">
        <v>46036</v>
      </c>
      <c r="E396" s="3" t="n">
        <v>46036</v>
      </c>
      <c r="F396" t="inlineStr">
        <is>
          <t>Surat</t>
        </is>
      </c>
      <c r="G396" t="inlineStr">
        <is>
          <t>Ahmedabad</t>
        </is>
      </c>
      <c r="H396" t="inlineStr">
        <is>
          <t>BlueDart</t>
        </is>
      </c>
      <c r="I396" t="inlineStr">
        <is>
          <t>Container</t>
        </is>
      </c>
      <c r="J396" t="inlineStr">
        <is>
          <t>Normal</t>
        </is>
      </c>
      <c r="K396" t="inlineStr">
        <is>
          <t>Delivered</t>
        </is>
      </c>
      <c r="L396" t="n">
        <v>1161.91</v>
      </c>
      <c r="M396" t="n">
        <v>2333</v>
      </c>
      <c r="N396" t="n">
        <v>54.33</v>
      </c>
      <c r="O396" t="n">
        <v>7559.21</v>
      </c>
      <c r="P396" t="n">
        <v>886.64</v>
      </c>
      <c r="Q396">
        <f>ROUND(L396*M396*N396/1000+O396+P396,2)</f>
        <v/>
      </c>
      <c r="R396" t="inlineStr">
        <is>
          <t>Yes</t>
        </is>
      </c>
      <c r="S396">
        <f>IF(OR(E396="",D396=""),"",MAX(0,E396-D396))</f>
        <v/>
      </c>
      <c r="T396" t="inlineStr">
        <is>
          <t>Yes</t>
        </is>
      </c>
      <c r="U396" t="n">
        <v>51</v>
      </c>
      <c r="V396" t="inlineStr">
        <is>
          <t>Paid</t>
        </is>
      </c>
      <c r="W396" t="n">
        <v>1</v>
      </c>
      <c r="X396" t="inlineStr">
        <is>
          <t>Weather</t>
        </is>
      </c>
    </row>
    <row r="397">
      <c r="A397" t="inlineStr">
        <is>
          <t>ORD-2026-00396</t>
        </is>
      </c>
      <c r="B397" t="inlineStr">
        <is>
          <t>CUST-0224</t>
        </is>
      </c>
      <c r="C397" s="3" t="n">
        <v>46203</v>
      </c>
      <c r="D397" s="3" t="n">
        <v>46208</v>
      </c>
      <c r="E397" s="3" t="n">
        <v>46208</v>
      </c>
      <c r="F397" t="inlineStr">
        <is>
          <t>Delhi</t>
        </is>
      </c>
      <c r="G397" t="inlineStr">
        <is>
          <t>Bengaluru</t>
        </is>
      </c>
      <c r="H397" t="inlineStr">
        <is>
          <t>DHL</t>
        </is>
      </c>
      <c r="I397" t="inlineStr">
        <is>
          <t>Van</t>
        </is>
      </c>
      <c r="J397" t="inlineStr">
        <is>
          <t>High</t>
        </is>
      </c>
      <c r="K397" t="inlineStr">
        <is>
          <t>Delivered</t>
        </is>
      </c>
      <c r="L397" t="n">
        <v>1893.51</v>
      </c>
      <c r="M397" t="n">
        <v>1847</v>
      </c>
      <c r="N397" t="n">
        <v>43.56</v>
      </c>
      <c r="O397" t="n">
        <v>6993.22</v>
      </c>
      <c r="P397" t="n">
        <v>1450.75</v>
      </c>
      <c r="Q397">
        <f>ROUND(L397*M397*N397/1000+O397+P397,2)</f>
        <v/>
      </c>
      <c r="R397" t="inlineStr">
        <is>
          <t>Yes</t>
        </is>
      </c>
      <c r="S397">
        <f>IF(OR(E397="",D397=""),"",MAX(0,E397-D397))</f>
        <v/>
      </c>
      <c r="T397" t="inlineStr">
        <is>
          <t>Yes</t>
        </is>
      </c>
      <c r="U397" t="n">
        <v>56</v>
      </c>
      <c r="V397" t="inlineStr">
        <is>
          <t>Paid</t>
        </is>
      </c>
      <c r="W397" t="n">
        <v>1</v>
      </c>
      <c r="X397" t="inlineStr">
        <is>
          <t>Weather</t>
        </is>
      </c>
    </row>
    <row r="398">
      <c r="A398" t="inlineStr">
        <is>
          <t>ORD-2026-00397</t>
        </is>
      </c>
      <c r="B398" t="inlineStr">
        <is>
          <t>CUST-0159</t>
        </is>
      </c>
      <c r="C398" s="3" t="n">
        <v>46052</v>
      </c>
      <c r="D398" s="3" t="n">
        <v>46053</v>
      </c>
      <c r="E398" s="3" t="n">
        <v>46053</v>
      </c>
      <c r="F398" t="inlineStr">
        <is>
          <t>Kolkata</t>
        </is>
      </c>
      <c r="G398" t="inlineStr">
        <is>
          <t>Hyderabad</t>
        </is>
      </c>
      <c r="H398" t="inlineStr">
        <is>
          <t>Maersk</t>
        </is>
      </c>
      <c r="I398" t="inlineStr">
        <is>
          <t>Container</t>
        </is>
      </c>
      <c r="J398" t="inlineStr">
        <is>
          <t>High</t>
        </is>
      </c>
      <c r="K398" t="inlineStr">
        <is>
          <t>Delivered</t>
        </is>
      </c>
      <c r="L398" t="n">
        <v>1729.67</v>
      </c>
      <c r="M398" t="n">
        <v>2699</v>
      </c>
      <c r="N398" t="n">
        <v>63.05</v>
      </c>
      <c r="O398" t="n">
        <v>19459.86</v>
      </c>
      <c r="P398" t="n">
        <v>740.35</v>
      </c>
      <c r="Q398">
        <f>ROUND(L398*M398*N398/1000+O398+P398,2)</f>
        <v/>
      </c>
      <c r="R398" t="inlineStr">
        <is>
          <t>Yes</t>
        </is>
      </c>
      <c r="S398">
        <f>IF(OR(E398="",D398=""),"",MAX(0,E398-D398))</f>
        <v/>
      </c>
      <c r="T398" t="inlineStr">
        <is>
          <t>Yes</t>
        </is>
      </c>
      <c r="U398" t="n">
        <v>17</v>
      </c>
      <c r="V398" t="inlineStr">
        <is>
          <t>Pending</t>
        </is>
      </c>
      <c r="W398" t="n">
        <v>1</v>
      </c>
      <c r="X398" t="inlineStr">
        <is>
          <t>Address Error</t>
        </is>
      </c>
    </row>
    <row r="399">
      <c r="A399" t="inlineStr">
        <is>
          <t>ORD-2026-00398</t>
        </is>
      </c>
      <c r="B399" t="inlineStr">
        <is>
          <t>CUST-0161</t>
        </is>
      </c>
      <c r="C399" s="3" t="n">
        <v>46051</v>
      </c>
      <c r="D399" s="3" t="n">
        <v>46052</v>
      </c>
      <c r="E399" s="3" t="n">
        <v>46053</v>
      </c>
      <c r="F399" t="inlineStr">
        <is>
          <t>Surat</t>
        </is>
      </c>
      <c r="G399" t="inlineStr">
        <is>
          <t>Bengaluru</t>
        </is>
      </c>
      <c r="H399" t="inlineStr">
        <is>
          <t>BlueDart</t>
        </is>
      </c>
      <c r="I399" t="inlineStr">
        <is>
          <t>Refrigerated Truck</t>
        </is>
      </c>
      <c r="J399" t="inlineStr">
        <is>
          <t>Critical</t>
        </is>
      </c>
      <c r="K399" t="inlineStr">
        <is>
          <t>Delivered</t>
        </is>
      </c>
      <c r="L399" t="n">
        <v>67.52</v>
      </c>
      <c r="M399" t="n">
        <v>1975</v>
      </c>
      <c r="N399" t="n">
        <v>44.97</v>
      </c>
      <c r="O399" t="n">
        <v>413.69</v>
      </c>
      <c r="P399" t="n">
        <v>664.97</v>
      </c>
      <c r="Q399">
        <f>ROUND(L399*M399*N399/1000+O399+P399,2)</f>
        <v/>
      </c>
      <c r="R399" t="inlineStr">
        <is>
          <t>No</t>
        </is>
      </c>
      <c r="S399">
        <f>IF(OR(E399="",D399=""),"",MAX(0,E399-D399))</f>
        <v/>
      </c>
      <c r="T399" t="inlineStr">
        <is>
          <t>Yes</t>
        </is>
      </c>
      <c r="U399" t="n">
        <v>61</v>
      </c>
      <c r="V399" t="inlineStr">
        <is>
          <t>Failed</t>
        </is>
      </c>
      <c r="W399" t="n">
        <v>1</v>
      </c>
      <c r="X399" t="inlineStr">
        <is>
          <t>None</t>
        </is>
      </c>
    </row>
    <row r="400">
      <c r="A400" t="inlineStr">
        <is>
          <t>ORD-2026-00399</t>
        </is>
      </c>
      <c r="B400" t="inlineStr">
        <is>
          <t>CUST-0146</t>
        </is>
      </c>
      <c r="C400" s="3" t="n">
        <v>46065</v>
      </c>
      <c r="D400" s="3" t="n">
        <v>46068</v>
      </c>
      <c r="E400" s="3" t="n">
        <v>46070</v>
      </c>
      <c r="F400" t="inlineStr">
        <is>
          <t>Chennai</t>
        </is>
      </c>
      <c r="G400" t="inlineStr">
        <is>
          <t>Ahmedabad</t>
        </is>
      </c>
      <c r="H400" t="inlineStr">
        <is>
          <t>FedEx</t>
        </is>
      </c>
      <c r="I400" t="inlineStr">
        <is>
          <t>Van</t>
        </is>
      </c>
      <c r="J400" t="inlineStr">
        <is>
          <t>Low</t>
        </is>
      </c>
      <c r="K400" t="inlineStr">
        <is>
          <t>Delivered</t>
        </is>
      </c>
      <c r="L400" t="n">
        <v>1212.87</v>
      </c>
      <c r="M400" t="n">
        <v>85</v>
      </c>
      <c r="N400" t="n">
        <v>57.01</v>
      </c>
      <c r="O400" t="n">
        <v>382.7</v>
      </c>
      <c r="P400" t="n">
        <v>317.98</v>
      </c>
      <c r="Q400">
        <f>ROUND(L400*M400*N400/1000+O400+P400,2)</f>
        <v/>
      </c>
      <c r="R400" t="inlineStr">
        <is>
          <t>No</t>
        </is>
      </c>
      <c r="S400">
        <f>IF(OR(E400="",D400=""),"",MAX(0,E400-D400))</f>
        <v/>
      </c>
      <c r="T400" t="inlineStr">
        <is>
          <t>No</t>
        </is>
      </c>
      <c r="U400" t="n">
        <v>54</v>
      </c>
      <c r="V400" t="inlineStr">
        <is>
          <t>Failed</t>
        </is>
      </c>
      <c r="W400" t="n">
        <v>5</v>
      </c>
      <c r="X400" t="inlineStr">
        <is>
          <t>Customs</t>
        </is>
      </c>
    </row>
    <row r="401">
      <c r="A401" t="inlineStr">
        <is>
          <t>ORD-2026-00400</t>
        </is>
      </c>
      <c r="B401" t="inlineStr">
        <is>
          <t>CUST-0060</t>
        </is>
      </c>
      <c r="C401" s="3" t="n">
        <v>46210</v>
      </c>
      <c r="D401" s="3" t="n">
        <v>46215</v>
      </c>
      <c r="E401" s="3" t="n">
        <v>46215</v>
      </c>
      <c r="F401" t="inlineStr">
        <is>
          <t>Ahmedabad</t>
        </is>
      </c>
      <c r="G401" t="inlineStr">
        <is>
          <t>Surat</t>
        </is>
      </c>
      <c r="H401" t="inlineStr">
        <is>
          <t>BlueDart</t>
        </is>
      </c>
      <c r="I401" t="inlineStr">
        <is>
          <t>Container</t>
        </is>
      </c>
      <c r="J401" t="inlineStr">
        <is>
          <t>High</t>
        </is>
      </c>
      <c r="K401" t="inlineStr">
        <is>
          <t>Delivered</t>
        </is>
      </c>
      <c r="L401" t="n">
        <v>1283.63</v>
      </c>
      <c r="M401" t="n">
        <v>2509</v>
      </c>
      <c r="N401" t="n">
        <v>61.31</v>
      </c>
      <c r="O401" t="n">
        <v>16646.46</v>
      </c>
      <c r="P401" t="n">
        <v>1304.1</v>
      </c>
      <c r="Q401">
        <f>ROUND(L401*M401*N401/1000+O401+P401,2)</f>
        <v/>
      </c>
      <c r="R401" t="inlineStr">
        <is>
          <t>Yes</t>
        </is>
      </c>
      <c r="S401">
        <f>IF(OR(E401="",D401=""),"",MAX(0,E401-D401))</f>
        <v/>
      </c>
      <c r="T401" t="inlineStr">
        <is>
          <t>Yes</t>
        </is>
      </c>
      <c r="U401" t="n">
        <v>35</v>
      </c>
      <c r="V401" t="inlineStr">
        <is>
          <t>Failed</t>
        </is>
      </c>
      <c r="W401" t="n">
        <v>4</v>
      </c>
      <c r="X401" t="inlineStr">
        <is>
          <t>None</t>
        </is>
      </c>
    </row>
    <row r="402">
      <c r="A402" t="inlineStr">
        <is>
          <t>ORD-2026-00401</t>
        </is>
      </c>
      <c r="B402" t="inlineStr">
        <is>
          <t>CUST-0151</t>
        </is>
      </c>
      <c r="C402" s="3" t="n">
        <v>46149</v>
      </c>
      <c r="D402" s="3" t="n">
        <v>46155</v>
      </c>
      <c r="E402" s="3" t="n">
        <v>46155</v>
      </c>
      <c r="F402" t="inlineStr">
        <is>
          <t>Hyderabad</t>
        </is>
      </c>
      <c r="G402" t="inlineStr">
        <is>
          <t>Kolkata</t>
        </is>
      </c>
      <c r="H402" t="inlineStr">
        <is>
          <t>Aramex</t>
        </is>
      </c>
      <c r="I402" t="inlineStr">
        <is>
          <t>Container</t>
        </is>
      </c>
      <c r="J402" t="inlineStr">
        <is>
          <t>Normal</t>
        </is>
      </c>
      <c r="K402" t="inlineStr">
        <is>
          <t>Delivered</t>
        </is>
      </c>
      <c r="L402" t="n">
        <v>403.75</v>
      </c>
      <c r="M402" t="n">
        <v>792</v>
      </c>
      <c r="N402" t="n">
        <v>34.75</v>
      </c>
      <c r="O402" t="n">
        <v>625.46</v>
      </c>
      <c r="P402" t="n">
        <v>771.3</v>
      </c>
      <c r="Q402">
        <f>ROUND(L402*M402*N402/1000+O402+P402,2)</f>
        <v/>
      </c>
      <c r="R402" t="inlineStr">
        <is>
          <t>Yes</t>
        </is>
      </c>
      <c r="S402">
        <f>IF(OR(E402="",D402=""),"",MAX(0,E402-D402))</f>
        <v/>
      </c>
      <c r="T402" t="inlineStr">
        <is>
          <t>No</t>
        </is>
      </c>
      <c r="U402" t="n">
        <v>50</v>
      </c>
      <c r="V402" t="inlineStr">
        <is>
          <t>Failed</t>
        </is>
      </c>
      <c r="W402" t="n">
        <v>3</v>
      </c>
      <c r="X402" t="inlineStr">
        <is>
          <t>Customer Unavailable</t>
        </is>
      </c>
    </row>
    <row r="403">
      <c r="A403" t="inlineStr">
        <is>
          <t>ORD-2026-00402</t>
        </is>
      </c>
      <c r="B403" t="inlineStr">
        <is>
          <t>CUST-0126</t>
        </is>
      </c>
      <c r="C403" s="3" t="n">
        <v>46143</v>
      </c>
      <c r="D403" s="3" t="n">
        <v>46146</v>
      </c>
      <c r="E403" s="3" t="n">
        <v>46147</v>
      </c>
      <c r="F403" t="inlineStr">
        <is>
          <t>Mumbai</t>
        </is>
      </c>
      <c r="G403" t="inlineStr">
        <is>
          <t>Chennai</t>
        </is>
      </c>
      <c r="H403" t="inlineStr">
        <is>
          <t>Delhivery</t>
        </is>
      </c>
      <c r="I403" t="inlineStr">
        <is>
          <t>Refrigerated Truck</t>
        </is>
      </c>
      <c r="J403" t="inlineStr">
        <is>
          <t>Normal</t>
        </is>
      </c>
      <c r="K403" t="inlineStr">
        <is>
          <t>Delivered</t>
        </is>
      </c>
      <c r="L403" t="n">
        <v>1873.26</v>
      </c>
      <c r="M403" t="n">
        <v>2737</v>
      </c>
      <c r="N403" t="n">
        <v>35.52</v>
      </c>
      <c r="O403" t="n">
        <v>7356.99</v>
      </c>
      <c r="P403" t="n">
        <v>251.34</v>
      </c>
      <c r="Q403">
        <f>ROUND(L403*M403*N403/1000+O403+P403,2)</f>
        <v/>
      </c>
      <c r="R403" t="inlineStr">
        <is>
          <t>No</t>
        </is>
      </c>
      <c r="S403">
        <f>IF(OR(E403="",D403=""),"",MAX(0,E403-D403))</f>
        <v/>
      </c>
      <c r="T403" t="inlineStr">
        <is>
          <t>Yes</t>
        </is>
      </c>
      <c r="U403" t="n">
        <v>72</v>
      </c>
      <c r="V403" t="inlineStr">
        <is>
          <t>Paid</t>
        </is>
      </c>
      <c r="W403" t="n">
        <v>1</v>
      </c>
      <c r="X403" t="inlineStr">
        <is>
          <t>Vehicle Breakdown</t>
        </is>
      </c>
    </row>
    <row r="404">
      <c r="A404" t="inlineStr">
        <is>
          <t>ORD-2026-00403</t>
        </is>
      </c>
      <c r="B404" t="inlineStr">
        <is>
          <t>CUST-0159</t>
        </is>
      </c>
      <c r="C404" s="3" t="n">
        <v>46089</v>
      </c>
      <c r="D404" s="3" t="n">
        <v>46095</v>
      </c>
      <c r="E404" s="3" t="n">
        <v>46096</v>
      </c>
      <c r="F404" t="inlineStr">
        <is>
          <t>Bengaluru</t>
        </is>
      </c>
      <c r="G404" t="inlineStr">
        <is>
          <t>Mumbai</t>
        </is>
      </c>
      <c r="H404" t="inlineStr">
        <is>
          <t>DTDC</t>
        </is>
      </c>
      <c r="I404" t="inlineStr">
        <is>
          <t>Truck</t>
        </is>
      </c>
      <c r="J404" t="inlineStr">
        <is>
          <t>Critical</t>
        </is>
      </c>
      <c r="K404" t="inlineStr">
        <is>
          <t>Delivered</t>
        </is>
      </c>
      <c r="L404" t="n">
        <v>2148.72</v>
      </c>
      <c r="M404" t="n">
        <v>2067</v>
      </c>
      <c r="N404" t="n">
        <v>9.82</v>
      </c>
      <c r="O404" t="n">
        <v>1475.04</v>
      </c>
      <c r="P404" t="n">
        <v>657.3200000000001</v>
      </c>
      <c r="Q404">
        <f>ROUND(L404*M404*N404/1000+O404+P404,2)</f>
        <v/>
      </c>
      <c r="R404" t="inlineStr">
        <is>
          <t>No</t>
        </is>
      </c>
      <c r="S404">
        <f>IF(OR(E404="",D404=""),"",MAX(0,E404-D404))</f>
        <v/>
      </c>
      <c r="T404" t="inlineStr">
        <is>
          <t>No</t>
        </is>
      </c>
      <c r="U404" t="n">
        <v>44</v>
      </c>
      <c r="V404" t="inlineStr">
        <is>
          <t>COD</t>
        </is>
      </c>
      <c r="W404" t="n">
        <v>1</v>
      </c>
      <c r="X404" t="inlineStr">
        <is>
          <t>Customer Unavailable</t>
        </is>
      </c>
    </row>
    <row r="405">
      <c r="A405" t="inlineStr">
        <is>
          <t>ORD-2026-00404</t>
        </is>
      </c>
      <c r="B405" t="inlineStr">
        <is>
          <t>CUST-0113</t>
        </is>
      </c>
      <c r="C405" s="3" t="n">
        <v>46165</v>
      </c>
      <c r="D405" s="3" t="n">
        <v>46170</v>
      </c>
      <c r="E405" s="3" t="n">
        <v>46173</v>
      </c>
      <c r="F405" t="inlineStr">
        <is>
          <t>Jaipur</t>
        </is>
      </c>
      <c r="G405" t="inlineStr">
        <is>
          <t>Mumbai</t>
        </is>
      </c>
      <c r="H405" t="inlineStr">
        <is>
          <t>BlueDart</t>
        </is>
      </c>
      <c r="I405" t="inlineStr">
        <is>
          <t>Bike</t>
        </is>
      </c>
      <c r="J405" t="inlineStr">
        <is>
          <t>Low</t>
        </is>
      </c>
      <c r="K405" t="inlineStr">
        <is>
          <t>Delivered</t>
        </is>
      </c>
      <c r="L405" t="n">
        <v>2184.3</v>
      </c>
      <c r="M405" t="n">
        <v>2480</v>
      </c>
      <c r="N405" t="n">
        <v>46.16</v>
      </c>
      <c r="O405" t="n">
        <v>18099.81</v>
      </c>
      <c r="P405" t="n">
        <v>1391.42</v>
      </c>
      <c r="Q405">
        <f>ROUND(L405*M405*N405/1000+O405+P405,2)</f>
        <v/>
      </c>
      <c r="R405" t="inlineStr">
        <is>
          <t>No</t>
        </is>
      </c>
      <c r="S405">
        <f>IF(OR(E405="",D405=""),"",MAX(0,E405-D405))</f>
        <v/>
      </c>
      <c r="T405" t="inlineStr">
        <is>
          <t>Yes</t>
        </is>
      </c>
      <c r="U405" t="n">
        <v>65</v>
      </c>
      <c r="V405" t="inlineStr">
        <is>
          <t>Paid</t>
        </is>
      </c>
      <c r="W405" t="n">
        <v>2</v>
      </c>
      <c r="X405" t="inlineStr">
        <is>
          <t>Damaged Package</t>
        </is>
      </c>
    </row>
    <row r="406">
      <c r="A406" t="inlineStr">
        <is>
          <t>ORD-2026-00405</t>
        </is>
      </c>
      <c r="B406" t="inlineStr">
        <is>
          <t>CUST-0040</t>
        </is>
      </c>
      <c r="C406" s="3" t="n">
        <v>46053</v>
      </c>
      <c r="D406" s="3" t="n">
        <v>46057</v>
      </c>
      <c r="E406" s="3" t="n">
        <v>46062</v>
      </c>
      <c r="F406" t="inlineStr">
        <is>
          <t>Hyderabad</t>
        </is>
      </c>
      <c r="G406" t="inlineStr">
        <is>
          <t>Hyderabad</t>
        </is>
      </c>
      <c r="H406" t="inlineStr">
        <is>
          <t>Aramex</t>
        </is>
      </c>
      <c r="I406" t="inlineStr">
        <is>
          <t>Truck</t>
        </is>
      </c>
      <c r="J406" t="inlineStr">
        <is>
          <t>Low</t>
        </is>
      </c>
      <c r="K406" t="inlineStr">
        <is>
          <t>Delivered</t>
        </is>
      </c>
      <c r="L406" t="n">
        <v>730.66</v>
      </c>
      <c r="M406" t="n">
        <v>1813</v>
      </c>
      <c r="N406" t="n">
        <v>51.43</v>
      </c>
      <c r="O406" t="n">
        <v>4081.14</v>
      </c>
      <c r="P406" t="n">
        <v>1308.33</v>
      </c>
      <c r="Q406">
        <f>ROUND(L406*M406*N406/1000+O406+P406,2)</f>
        <v/>
      </c>
      <c r="R406" t="inlineStr">
        <is>
          <t>No</t>
        </is>
      </c>
      <c r="S406">
        <f>IF(OR(E406="",D406=""),"",MAX(0,E406-D406))</f>
        <v/>
      </c>
      <c r="T406" t="inlineStr">
        <is>
          <t>Yes</t>
        </is>
      </c>
      <c r="U406" t="n">
        <v>57</v>
      </c>
      <c r="V406" t="inlineStr">
        <is>
          <t>Failed</t>
        </is>
      </c>
      <c r="W406" t="n">
        <v>1</v>
      </c>
      <c r="X406" t="inlineStr">
        <is>
          <t>Address Error</t>
        </is>
      </c>
    </row>
    <row r="407">
      <c r="A407" t="inlineStr">
        <is>
          <t>ORD-2026-00406</t>
        </is>
      </c>
      <c r="B407" t="inlineStr">
        <is>
          <t>CUST-0063</t>
        </is>
      </c>
      <c r="C407" s="3" t="n">
        <v>46236</v>
      </c>
      <c r="D407" s="3" t="n">
        <v>46244</v>
      </c>
      <c r="E407" s="3" t="n">
        <v>46244</v>
      </c>
      <c r="F407" t="inlineStr">
        <is>
          <t>Delhi</t>
        </is>
      </c>
      <c r="G407" t="inlineStr">
        <is>
          <t>Surat</t>
        </is>
      </c>
      <c r="H407" t="inlineStr">
        <is>
          <t>Delhivery</t>
        </is>
      </c>
      <c r="I407" t="inlineStr">
        <is>
          <t>Truck</t>
        </is>
      </c>
      <c r="J407" t="inlineStr">
        <is>
          <t>Normal</t>
        </is>
      </c>
      <c r="K407" t="inlineStr">
        <is>
          <t>Delivered</t>
        </is>
      </c>
      <c r="L407" t="n">
        <v>213.54</v>
      </c>
      <c r="M407" t="n">
        <v>1530</v>
      </c>
      <c r="N407" t="n">
        <v>48.77</v>
      </c>
      <c r="O407" t="n">
        <v>874.78</v>
      </c>
      <c r="P407" t="n">
        <v>951.5700000000001</v>
      </c>
      <c r="Q407">
        <f>ROUND(L407*M407*N407/1000+O407+P407,2)</f>
        <v/>
      </c>
      <c r="R407" t="inlineStr">
        <is>
          <t>Yes</t>
        </is>
      </c>
      <c r="S407">
        <f>IF(OR(E407="",D407=""),"",MAX(0,E407-D407))</f>
        <v/>
      </c>
      <c r="T407" t="inlineStr">
        <is>
          <t>No</t>
        </is>
      </c>
      <c r="U407" t="n">
        <v>53</v>
      </c>
      <c r="V407" t="inlineStr">
        <is>
          <t>Failed</t>
        </is>
      </c>
      <c r="W407" t="n">
        <v>4</v>
      </c>
      <c r="X407" t="inlineStr">
        <is>
          <t>Customer Unavailable</t>
        </is>
      </c>
    </row>
    <row r="408">
      <c r="A408" t="inlineStr">
        <is>
          <t>ORD-2026-00407</t>
        </is>
      </c>
      <c r="B408" t="inlineStr">
        <is>
          <t>CUST-0198</t>
        </is>
      </c>
      <c r="C408" s="3" t="n">
        <v>46155</v>
      </c>
      <c r="D408" s="3" t="n">
        <v>46161</v>
      </c>
      <c r="E408" s="3" t="n">
        <v>46166</v>
      </c>
      <c r="F408" t="inlineStr">
        <is>
          <t>Delhi</t>
        </is>
      </c>
      <c r="G408" t="inlineStr">
        <is>
          <t>Chennai</t>
        </is>
      </c>
      <c r="H408" t="inlineStr">
        <is>
          <t>BlueDart</t>
        </is>
      </c>
      <c r="I408" t="inlineStr">
        <is>
          <t>Container</t>
        </is>
      </c>
      <c r="J408" t="inlineStr">
        <is>
          <t>Low</t>
        </is>
      </c>
      <c r="K408" t="inlineStr">
        <is>
          <t>Delivered</t>
        </is>
      </c>
      <c r="L408" t="n">
        <v>1925.49</v>
      </c>
      <c r="M408" t="n">
        <v>2124</v>
      </c>
      <c r="N408" t="n">
        <v>61.79</v>
      </c>
      <c r="O408" t="n">
        <v>8866.59</v>
      </c>
      <c r="P408" t="n">
        <v>485.91</v>
      </c>
      <c r="Q408">
        <f>ROUND(L408*M408*N408/1000+O408+P408,2)</f>
        <v/>
      </c>
      <c r="R408" t="inlineStr">
        <is>
          <t>No</t>
        </is>
      </c>
      <c r="S408">
        <f>IF(OR(E408="",D408=""),"",MAX(0,E408-D408))</f>
        <v/>
      </c>
      <c r="T408" t="inlineStr">
        <is>
          <t>Yes</t>
        </is>
      </c>
      <c r="U408" t="n">
        <v>74</v>
      </c>
      <c r="V408" t="inlineStr">
        <is>
          <t>Paid</t>
        </is>
      </c>
      <c r="W408" t="n">
        <v>5</v>
      </c>
      <c r="X408" t="inlineStr">
        <is>
          <t>Vehicle Breakdown</t>
        </is>
      </c>
    </row>
    <row r="409">
      <c r="A409" t="inlineStr">
        <is>
          <t>ORD-2026-00408</t>
        </is>
      </c>
      <c r="B409" t="inlineStr">
        <is>
          <t>CUST-0136</t>
        </is>
      </c>
      <c r="C409" s="3" t="n">
        <v>46130</v>
      </c>
      <c r="D409" s="3" t="n">
        <v>46137</v>
      </c>
      <c r="E409" s="3" t="n">
        <v>46140</v>
      </c>
      <c r="F409" t="inlineStr">
        <is>
          <t>Kolkata</t>
        </is>
      </c>
      <c r="G409" t="inlineStr">
        <is>
          <t>Delhi</t>
        </is>
      </c>
      <c r="H409" t="inlineStr">
        <is>
          <t>Maersk</t>
        </is>
      </c>
      <c r="I409" t="inlineStr">
        <is>
          <t>Container</t>
        </is>
      </c>
      <c r="J409" t="inlineStr">
        <is>
          <t>Critical</t>
        </is>
      </c>
      <c r="K409" t="inlineStr">
        <is>
          <t>Delivered</t>
        </is>
      </c>
      <c r="L409" t="n">
        <v>2183.93</v>
      </c>
      <c r="M409" t="n">
        <v>1289</v>
      </c>
      <c r="N409" t="n">
        <v>59.83</v>
      </c>
      <c r="O409" t="n">
        <v>5132.65</v>
      </c>
      <c r="P409" t="n">
        <v>434.08</v>
      </c>
      <c r="Q409">
        <f>ROUND(L409*M409*N409/1000+O409+P409,2)</f>
        <v/>
      </c>
      <c r="R409" t="inlineStr">
        <is>
          <t>No</t>
        </is>
      </c>
      <c r="S409">
        <f>IF(OR(E409="",D409=""),"",MAX(0,E409-D409))</f>
        <v/>
      </c>
      <c r="T409" t="inlineStr">
        <is>
          <t>Yes</t>
        </is>
      </c>
      <c r="U409" t="n">
        <v>70</v>
      </c>
      <c r="V409" t="inlineStr">
        <is>
          <t>Failed</t>
        </is>
      </c>
      <c r="W409" t="n">
        <v>3</v>
      </c>
      <c r="X409" t="inlineStr">
        <is>
          <t>Customer Unavailable</t>
        </is>
      </c>
    </row>
    <row r="410">
      <c r="A410" t="inlineStr">
        <is>
          <t>ORD-2026-00409</t>
        </is>
      </c>
      <c r="B410" t="inlineStr">
        <is>
          <t>CUST-0033</t>
        </is>
      </c>
      <c r="C410" s="3" t="n">
        <v>46223</v>
      </c>
      <c r="D410" s="3" t="n">
        <v>46230</v>
      </c>
      <c r="E410" s="3" t="n">
        <v>46232</v>
      </c>
      <c r="F410" t="inlineStr">
        <is>
          <t>Surat</t>
        </is>
      </c>
      <c r="G410" t="inlineStr">
        <is>
          <t>Surat</t>
        </is>
      </c>
      <c r="H410" t="inlineStr">
        <is>
          <t>FedEx</t>
        </is>
      </c>
      <c r="I410" t="inlineStr">
        <is>
          <t>Truck</t>
        </is>
      </c>
      <c r="J410" t="inlineStr">
        <is>
          <t>Low</t>
        </is>
      </c>
      <c r="K410" t="inlineStr">
        <is>
          <t>Delivered</t>
        </is>
      </c>
      <c r="L410" t="n">
        <v>211.16</v>
      </c>
      <c r="M410" t="n">
        <v>2206</v>
      </c>
      <c r="N410" t="n">
        <v>27.07</v>
      </c>
      <c r="O410" t="n">
        <v>926.89</v>
      </c>
      <c r="P410" t="n">
        <v>1115.28</v>
      </c>
      <c r="Q410">
        <f>ROUND(L410*M410*N410/1000+O410+P410,2)</f>
        <v/>
      </c>
      <c r="R410" t="inlineStr">
        <is>
          <t>No</t>
        </is>
      </c>
      <c r="S410">
        <f>IF(OR(E410="",D410=""),"",MAX(0,E410-D410))</f>
        <v/>
      </c>
      <c r="T410" t="inlineStr">
        <is>
          <t>No</t>
        </is>
      </c>
      <c r="U410" t="n">
        <v>67</v>
      </c>
      <c r="V410" t="inlineStr">
        <is>
          <t>COD</t>
        </is>
      </c>
      <c r="W410" t="n">
        <v>2</v>
      </c>
      <c r="X410" t="inlineStr">
        <is>
          <t>None</t>
        </is>
      </c>
    </row>
    <row r="411">
      <c r="A411" t="inlineStr">
        <is>
          <t>ORD-2026-00410</t>
        </is>
      </c>
      <c r="B411" t="inlineStr">
        <is>
          <t>CUST-0161</t>
        </is>
      </c>
      <c r="C411" s="3" t="n">
        <v>46030</v>
      </c>
      <c r="D411" s="3" t="n">
        <v>46035</v>
      </c>
      <c r="E411" s="3" t="n">
        <v>46035</v>
      </c>
      <c r="F411" t="inlineStr">
        <is>
          <t>Surat</t>
        </is>
      </c>
      <c r="G411" t="inlineStr">
        <is>
          <t>Hyderabad</t>
        </is>
      </c>
      <c r="H411" t="inlineStr">
        <is>
          <t>BlueDart</t>
        </is>
      </c>
      <c r="I411" t="inlineStr">
        <is>
          <t>Van</t>
        </is>
      </c>
      <c r="J411" t="inlineStr">
        <is>
          <t>Low</t>
        </is>
      </c>
      <c r="K411" t="inlineStr">
        <is>
          <t>Delivered</t>
        </is>
      </c>
      <c r="L411" t="n">
        <v>1816.41</v>
      </c>
      <c r="M411" t="n">
        <v>2074</v>
      </c>
      <c r="N411" t="n">
        <v>14.3</v>
      </c>
      <c r="O411" t="n">
        <v>1809.91</v>
      </c>
      <c r="P411" t="n">
        <v>572.01</v>
      </c>
      <c r="Q411">
        <f>ROUND(L411*M411*N411/1000+O411+P411,2)</f>
        <v/>
      </c>
      <c r="R411" t="inlineStr">
        <is>
          <t>Yes</t>
        </is>
      </c>
      <c r="S411">
        <f>IF(OR(E411="",D411=""),"",MAX(0,E411-D411))</f>
        <v/>
      </c>
      <c r="T411" t="inlineStr">
        <is>
          <t>No</t>
        </is>
      </c>
      <c r="U411" t="n">
        <v>39</v>
      </c>
      <c r="V411" t="inlineStr">
        <is>
          <t>Paid</t>
        </is>
      </c>
      <c r="W411" t="n">
        <v>4</v>
      </c>
      <c r="X411" t="inlineStr">
        <is>
          <t>Vehicle Breakdown</t>
        </is>
      </c>
    </row>
    <row r="412">
      <c r="A412" t="inlineStr">
        <is>
          <t>ORD-2026-00411</t>
        </is>
      </c>
      <c r="B412" t="inlineStr">
        <is>
          <t>CUST-0064</t>
        </is>
      </c>
      <c r="C412" s="3" t="n">
        <v>46083</v>
      </c>
      <c r="D412" s="3" t="n">
        <v>46087</v>
      </c>
      <c r="E412" s="3" t="n">
        <v>46087</v>
      </c>
      <c r="F412" t="inlineStr">
        <is>
          <t>Mumbai</t>
        </is>
      </c>
      <c r="G412" t="inlineStr">
        <is>
          <t>Hyderabad</t>
        </is>
      </c>
      <c r="H412" t="inlineStr">
        <is>
          <t>DTDC</t>
        </is>
      </c>
      <c r="I412" t="inlineStr">
        <is>
          <t>Bike</t>
        </is>
      </c>
      <c r="J412" t="inlineStr">
        <is>
          <t>Normal</t>
        </is>
      </c>
      <c r="K412" t="inlineStr">
        <is>
          <t>Delivered</t>
        </is>
      </c>
      <c r="L412" t="n">
        <v>1962.08</v>
      </c>
      <c r="M412" t="n">
        <v>2351</v>
      </c>
      <c r="N412" t="n">
        <v>46.33</v>
      </c>
      <c r="O412" t="n">
        <v>15571.38</v>
      </c>
      <c r="P412" t="n">
        <v>789.11</v>
      </c>
      <c r="Q412">
        <f>ROUND(L412*M412*N412/1000+O412+P412,2)</f>
        <v/>
      </c>
      <c r="R412" t="inlineStr">
        <is>
          <t>Yes</t>
        </is>
      </c>
      <c r="S412">
        <f>IF(OR(E412="",D412=""),"",MAX(0,E412-D412))</f>
        <v/>
      </c>
      <c r="T412" t="inlineStr">
        <is>
          <t>No</t>
        </is>
      </c>
      <c r="U412" t="n">
        <v>59</v>
      </c>
      <c r="V412" t="inlineStr">
        <is>
          <t>Paid</t>
        </is>
      </c>
      <c r="W412" t="n">
        <v>2</v>
      </c>
      <c r="X412" t="inlineStr">
        <is>
          <t>Damaged Package</t>
        </is>
      </c>
    </row>
    <row r="413">
      <c r="A413" t="inlineStr">
        <is>
          <t>ORD-2026-00412</t>
        </is>
      </c>
      <c r="B413" t="inlineStr">
        <is>
          <t>CUST-0144</t>
        </is>
      </c>
      <c r="C413" s="3" t="n">
        <v>46131</v>
      </c>
      <c r="D413" s="3" t="n">
        <v>46138</v>
      </c>
      <c r="E413" s="3" t="n"/>
      <c r="F413" t="inlineStr">
        <is>
          <t>Surat</t>
        </is>
      </c>
      <c r="G413" t="inlineStr">
        <is>
          <t>Chennai</t>
        </is>
      </c>
      <c r="H413" t="inlineStr">
        <is>
          <t>Aramex</t>
        </is>
      </c>
      <c r="I413" t="inlineStr">
        <is>
          <t>Refrigerated Truck</t>
        </is>
      </c>
      <c r="J413" t="inlineStr">
        <is>
          <t>Critical</t>
        </is>
      </c>
      <c r="K413" t="inlineStr">
        <is>
          <t>Booked</t>
        </is>
      </c>
      <c r="L413" t="n">
        <v>1190.89</v>
      </c>
      <c r="M413" t="n">
        <v>1832</v>
      </c>
      <c r="N413" t="n">
        <v>12.45</v>
      </c>
      <c r="O413" t="n">
        <v>1917.91</v>
      </c>
      <c r="P413" t="n">
        <v>616.08</v>
      </c>
      <c r="Q413">
        <f>ROUND(L413*M413*N413/1000+O413+P413,2)</f>
        <v/>
      </c>
      <c r="R413" t="inlineStr">
        <is>
          <t>No</t>
        </is>
      </c>
      <c r="S413">
        <f>IF(OR(E413="",D413=""),"",MAX(0,E413-D413))</f>
        <v/>
      </c>
      <c r="T413" t="inlineStr">
        <is>
          <t>No</t>
        </is>
      </c>
      <c r="U413" t="n">
        <v>57</v>
      </c>
      <c r="V413" t="inlineStr">
        <is>
          <t>Failed</t>
        </is>
      </c>
      <c r="W413" t="n">
        <v>4</v>
      </c>
      <c r="X413" t="inlineStr">
        <is>
          <t>Customer Unavailable</t>
        </is>
      </c>
    </row>
    <row r="414">
      <c r="A414" t="inlineStr">
        <is>
          <t>ORD-2026-00413</t>
        </is>
      </c>
      <c r="B414" t="inlineStr">
        <is>
          <t>CUST-0122</t>
        </is>
      </c>
      <c r="C414" s="3" t="n">
        <v>46064</v>
      </c>
      <c r="D414" s="3" t="n">
        <v>46067</v>
      </c>
      <c r="E414" s="3" t="n">
        <v>46067</v>
      </c>
      <c r="F414" t="inlineStr">
        <is>
          <t>Ahmedabad</t>
        </is>
      </c>
      <c r="G414" t="inlineStr">
        <is>
          <t>Delhi</t>
        </is>
      </c>
      <c r="H414" t="inlineStr">
        <is>
          <t>DTDC</t>
        </is>
      </c>
      <c r="I414" t="inlineStr">
        <is>
          <t>Refrigerated Truck</t>
        </is>
      </c>
      <c r="J414" t="inlineStr">
        <is>
          <t>Low</t>
        </is>
      </c>
      <c r="K414" t="inlineStr">
        <is>
          <t>Delivered</t>
        </is>
      </c>
      <c r="L414" t="n">
        <v>1144.55</v>
      </c>
      <c r="M414" t="n">
        <v>2107</v>
      </c>
      <c r="N414" t="n">
        <v>57.21</v>
      </c>
      <c r="O414" t="n">
        <v>5116.25</v>
      </c>
      <c r="P414" t="n">
        <v>334.71</v>
      </c>
      <c r="Q414">
        <f>ROUND(L414*M414*N414/1000+O414+P414,2)</f>
        <v/>
      </c>
      <c r="R414" t="inlineStr">
        <is>
          <t>Yes</t>
        </is>
      </c>
      <c r="S414">
        <f>IF(OR(E414="",D414=""),"",MAX(0,E414-D414))</f>
        <v/>
      </c>
      <c r="T414" t="inlineStr">
        <is>
          <t>No</t>
        </is>
      </c>
      <c r="U414" t="n">
        <v>15</v>
      </c>
      <c r="V414" t="inlineStr">
        <is>
          <t>Paid</t>
        </is>
      </c>
      <c r="W414" t="n">
        <v>3</v>
      </c>
      <c r="X414" t="inlineStr">
        <is>
          <t>Customs</t>
        </is>
      </c>
    </row>
    <row r="415">
      <c r="A415" t="inlineStr">
        <is>
          <t>ORD-2026-00414</t>
        </is>
      </c>
      <c r="B415" t="inlineStr">
        <is>
          <t>CUST-0037</t>
        </is>
      </c>
      <c r="C415" s="3" t="n">
        <v>46097</v>
      </c>
      <c r="D415" s="3" t="n">
        <v>46098</v>
      </c>
      <c r="E415" s="3" t="n">
        <v>46098</v>
      </c>
      <c r="F415" t="inlineStr">
        <is>
          <t>Kolkata</t>
        </is>
      </c>
      <c r="G415" t="inlineStr">
        <is>
          <t>Chennai</t>
        </is>
      </c>
      <c r="H415" t="inlineStr">
        <is>
          <t>BlueDart</t>
        </is>
      </c>
      <c r="I415" t="inlineStr">
        <is>
          <t>Refrigerated Truck</t>
        </is>
      </c>
      <c r="J415" t="inlineStr">
        <is>
          <t>High</t>
        </is>
      </c>
      <c r="K415" t="inlineStr">
        <is>
          <t>Delivered</t>
        </is>
      </c>
      <c r="L415" t="n">
        <v>762.66</v>
      </c>
      <c r="M415" t="n">
        <v>1538</v>
      </c>
      <c r="N415" t="n">
        <v>25.29</v>
      </c>
      <c r="O415" t="n">
        <v>1754.82</v>
      </c>
      <c r="P415" t="n">
        <v>1190.98</v>
      </c>
      <c r="Q415">
        <f>ROUND(L415*M415*N415/1000+O415+P415,2)</f>
        <v/>
      </c>
      <c r="R415" t="inlineStr">
        <is>
          <t>Yes</t>
        </is>
      </c>
      <c r="S415">
        <f>IF(OR(E415="",D415=""),"",MAX(0,E415-D415))</f>
        <v/>
      </c>
      <c r="T415" t="inlineStr">
        <is>
          <t>Yes</t>
        </is>
      </c>
      <c r="U415" t="n">
        <v>24</v>
      </c>
      <c r="V415" t="inlineStr">
        <is>
          <t>Failed</t>
        </is>
      </c>
      <c r="W415" t="n">
        <v>1</v>
      </c>
      <c r="X415" t="inlineStr">
        <is>
          <t>None</t>
        </is>
      </c>
    </row>
    <row r="416">
      <c r="A416" t="inlineStr">
        <is>
          <t>ORD-2026-00415</t>
        </is>
      </c>
      <c r="B416" t="inlineStr">
        <is>
          <t>CUST-0214</t>
        </is>
      </c>
      <c r="C416" s="3" t="n">
        <v>46163</v>
      </c>
      <c r="D416" s="3" t="n">
        <v>46169</v>
      </c>
      <c r="E416" s="3" t="n"/>
      <c r="F416" t="inlineStr">
        <is>
          <t>Kolkata</t>
        </is>
      </c>
      <c r="G416" t="inlineStr">
        <is>
          <t>Delhi</t>
        </is>
      </c>
      <c r="H416" t="inlineStr">
        <is>
          <t>Aramex</t>
        </is>
      </c>
      <c r="I416" t="inlineStr">
        <is>
          <t>Truck</t>
        </is>
      </c>
      <c r="J416" t="inlineStr">
        <is>
          <t>Critical</t>
        </is>
      </c>
      <c r="K416" t="inlineStr">
        <is>
          <t>Exception</t>
        </is>
      </c>
      <c r="L416" t="n">
        <v>1432.86</v>
      </c>
      <c r="M416" t="n">
        <v>2322</v>
      </c>
      <c r="N416" t="n">
        <v>33.79</v>
      </c>
      <c r="O416" t="n">
        <v>5651.42</v>
      </c>
      <c r="P416" t="n">
        <v>578.41</v>
      </c>
      <c r="Q416">
        <f>ROUND(L416*M416*N416/1000+O416+P416,2)</f>
        <v/>
      </c>
      <c r="R416" t="inlineStr">
        <is>
          <t>No</t>
        </is>
      </c>
      <c r="S416">
        <f>IF(OR(E416="",D416=""),"",MAX(0,E416-D416))</f>
        <v/>
      </c>
      <c r="T416" t="inlineStr">
        <is>
          <t>No</t>
        </is>
      </c>
      <c r="U416" t="n">
        <v>58</v>
      </c>
      <c r="V416" t="inlineStr">
        <is>
          <t>Pending</t>
        </is>
      </c>
      <c r="W416" t="n">
        <v>3</v>
      </c>
      <c r="X416" t="inlineStr">
        <is>
          <t>None</t>
        </is>
      </c>
    </row>
    <row r="417">
      <c r="A417" t="inlineStr">
        <is>
          <t>ORD-2026-00416</t>
        </is>
      </c>
      <c r="B417" t="inlineStr">
        <is>
          <t>CUST-0166</t>
        </is>
      </c>
      <c r="C417" s="3" t="n">
        <v>46227</v>
      </c>
      <c r="D417" s="3" t="n">
        <v>46234</v>
      </c>
      <c r="E417" s="3" t="n">
        <v>46234</v>
      </c>
      <c r="F417" t="inlineStr">
        <is>
          <t>Mumbai</t>
        </is>
      </c>
      <c r="G417" t="inlineStr">
        <is>
          <t>Delhi</t>
        </is>
      </c>
      <c r="H417" t="inlineStr">
        <is>
          <t>Maersk</t>
        </is>
      </c>
      <c r="I417" t="inlineStr">
        <is>
          <t>Van</t>
        </is>
      </c>
      <c r="J417" t="inlineStr">
        <is>
          <t>High</t>
        </is>
      </c>
      <c r="K417" t="inlineStr">
        <is>
          <t>Delivered</t>
        </is>
      </c>
      <c r="L417" t="n">
        <v>847.83</v>
      </c>
      <c r="M417" t="n">
        <v>192</v>
      </c>
      <c r="N417" t="n">
        <v>62.61</v>
      </c>
      <c r="O417" t="n">
        <v>850.03</v>
      </c>
      <c r="P417" t="n">
        <v>1109.15</v>
      </c>
      <c r="Q417">
        <f>ROUND(L417*M417*N417/1000+O417+P417,2)</f>
        <v/>
      </c>
      <c r="R417" t="inlineStr">
        <is>
          <t>Yes</t>
        </is>
      </c>
      <c r="S417">
        <f>IF(OR(E417="",D417=""),"",MAX(0,E417-D417))</f>
        <v/>
      </c>
      <c r="T417" t="inlineStr">
        <is>
          <t>Yes</t>
        </is>
      </c>
      <c r="U417" t="n">
        <v>72</v>
      </c>
      <c r="V417" t="inlineStr">
        <is>
          <t>Paid</t>
        </is>
      </c>
      <c r="W417" t="n">
        <v>2</v>
      </c>
      <c r="X417" t="inlineStr">
        <is>
          <t>Customs</t>
        </is>
      </c>
    </row>
    <row r="418">
      <c r="A418" t="inlineStr">
        <is>
          <t>ORD-2026-00417</t>
        </is>
      </c>
      <c r="B418" t="inlineStr">
        <is>
          <t>CUST-0047</t>
        </is>
      </c>
      <c r="C418" s="3" t="n">
        <v>46161</v>
      </c>
      <c r="D418" s="3" t="n">
        <v>46162</v>
      </c>
      <c r="E418" s="3" t="n">
        <v>46167</v>
      </c>
      <c r="F418" t="inlineStr">
        <is>
          <t>Ahmedabad</t>
        </is>
      </c>
      <c r="G418" t="inlineStr">
        <is>
          <t>Pune</t>
        </is>
      </c>
      <c r="H418" t="inlineStr">
        <is>
          <t>Aramex</t>
        </is>
      </c>
      <c r="I418" t="inlineStr">
        <is>
          <t>Truck</t>
        </is>
      </c>
      <c r="J418" t="inlineStr">
        <is>
          <t>Normal</t>
        </is>
      </c>
      <c r="K418" t="inlineStr">
        <is>
          <t>Delivered</t>
        </is>
      </c>
      <c r="L418" t="n">
        <v>1876.52</v>
      </c>
      <c r="M418" t="n">
        <v>2063</v>
      </c>
      <c r="N418" t="n">
        <v>59.12</v>
      </c>
      <c r="O418" t="n">
        <v>8517.809999999999</v>
      </c>
      <c r="P418" t="n">
        <v>1405.55</v>
      </c>
      <c r="Q418">
        <f>ROUND(L418*M418*N418/1000+O418+P418,2)</f>
        <v/>
      </c>
      <c r="R418" t="inlineStr">
        <is>
          <t>No</t>
        </is>
      </c>
      <c r="S418">
        <f>IF(OR(E418="",D418=""),"",MAX(0,E418-D418))</f>
        <v/>
      </c>
      <c r="T418" t="inlineStr">
        <is>
          <t>No</t>
        </is>
      </c>
      <c r="U418" t="n">
        <v>11</v>
      </c>
      <c r="V418" t="inlineStr">
        <is>
          <t>COD</t>
        </is>
      </c>
      <c r="W418" t="n">
        <v>4</v>
      </c>
      <c r="X418" t="inlineStr">
        <is>
          <t>Customs</t>
        </is>
      </c>
    </row>
    <row r="419">
      <c r="A419" t="inlineStr">
        <is>
          <t>ORD-2026-00418</t>
        </is>
      </c>
      <c r="B419" t="inlineStr">
        <is>
          <t>CUST-0030</t>
        </is>
      </c>
      <c r="C419" s="3" t="n">
        <v>46034</v>
      </c>
      <c r="D419" s="3" t="n">
        <v>46042</v>
      </c>
      <c r="E419" s="3" t="n"/>
      <c r="F419" t="inlineStr">
        <is>
          <t>Mumbai</t>
        </is>
      </c>
      <c r="G419" t="inlineStr">
        <is>
          <t>Surat</t>
        </is>
      </c>
      <c r="H419" t="inlineStr">
        <is>
          <t>DHL</t>
        </is>
      </c>
      <c r="I419" t="inlineStr">
        <is>
          <t>Refrigerated Truck</t>
        </is>
      </c>
      <c r="J419" t="inlineStr">
        <is>
          <t>Normal</t>
        </is>
      </c>
      <c r="K419" t="inlineStr">
        <is>
          <t>Exception</t>
        </is>
      </c>
      <c r="L419" t="n">
        <v>451.68</v>
      </c>
      <c r="M419" t="n">
        <v>103</v>
      </c>
      <c r="N419" t="n">
        <v>57</v>
      </c>
      <c r="O419" t="n">
        <v>130.05</v>
      </c>
      <c r="P419" t="n">
        <v>400.62</v>
      </c>
      <c r="Q419">
        <f>ROUND(L419*M419*N419/1000+O419+P419,2)</f>
        <v/>
      </c>
      <c r="R419" t="inlineStr">
        <is>
          <t>No</t>
        </is>
      </c>
      <c r="S419">
        <f>IF(OR(E419="",D419=""),"",MAX(0,E419-D419))</f>
        <v/>
      </c>
      <c r="T419" t="inlineStr">
        <is>
          <t>Yes</t>
        </is>
      </c>
      <c r="U419" t="n">
        <v>33</v>
      </c>
      <c r="V419" t="inlineStr">
        <is>
          <t>Paid</t>
        </is>
      </c>
      <c r="W419" t="n">
        <v>2</v>
      </c>
      <c r="X419" t="inlineStr">
        <is>
          <t>Vehicle Breakdown</t>
        </is>
      </c>
    </row>
    <row r="420">
      <c r="A420" t="inlineStr">
        <is>
          <t>ORD-2026-00419</t>
        </is>
      </c>
      <c r="B420" t="inlineStr">
        <is>
          <t>CUST-0229</t>
        </is>
      </c>
      <c r="C420" s="3" t="n">
        <v>46127</v>
      </c>
      <c r="D420" s="3" t="n">
        <v>46130</v>
      </c>
      <c r="E420" s="3" t="n">
        <v>46130</v>
      </c>
      <c r="F420" t="inlineStr">
        <is>
          <t>Hyderabad</t>
        </is>
      </c>
      <c r="G420" t="inlineStr">
        <is>
          <t>Pune</t>
        </is>
      </c>
      <c r="H420" t="inlineStr">
        <is>
          <t>Delhivery</t>
        </is>
      </c>
      <c r="I420" t="inlineStr">
        <is>
          <t>Van</t>
        </is>
      </c>
      <c r="J420" t="inlineStr">
        <is>
          <t>Low</t>
        </is>
      </c>
      <c r="K420" t="inlineStr">
        <is>
          <t>Delivered</t>
        </is>
      </c>
      <c r="L420" t="n">
        <v>454.05</v>
      </c>
      <c r="M420" t="n">
        <v>244</v>
      </c>
      <c r="N420" t="n">
        <v>24.99</v>
      </c>
      <c r="O420" t="n">
        <v>99.45999999999999</v>
      </c>
      <c r="P420" t="n">
        <v>230.84</v>
      </c>
      <c r="Q420">
        <f>ROUND(L420*M420*N420/1000+O420+P420,2)</f>
        <v/>
      </c>
      <c r="R420" t="inlineStr">
        <is>
          <t>Yes</t>
        </is>
      </c>
      <c r="S420">
        <f>IF(OR(E420="",D420=""),"",MAX(0,E420-D420))</f>
        <v/>
      </c>
      <c r="T420" t="inlineStr">
        <is>
          <t>Yes</t>
        </is>
      </c>
      <c r="U420" t="n">
        <v>31</v>
      </c>
      <c r="V420" t="inlineStr">
        <is>
          <t>Pending</t>
        </is>
      </c>
      <c r="W420" t="n">
        <v>4</v>
      </c>
      <c r="X420" t="inlineStr">
        <is>
          <t>Customs</t>
        </is>
      </c>
    </row>
    <row r="421">
      <c r="A421" t="inlineStr">
        <is>
          <t>ORD-2026-00420</t>
        </is>
      </c>
      <c r="B421" t="inlineStr">
        <is>
          <t>CUST-0060</t>
        </is>
      </c>
      <c r="C421" s="3" t="n">
        <v>46215</v>
      </c>
      <c r="D421" s="3" t="n">
        <v>46222</v>
      </c>
      <c r="E421" s="3" t="n">
        <v>46227</v>
      </c>
      <c r="F421" t="inlineStr">
        <is>
          <t>Ahmedabad</t>
        </is>
      </c>
      <c r="G421" t="inlineStr">
        <is>
          <t>Pune</t>
        </is>
      </c>
      <c r="H421" t="inlineStr">
        <is>
          <t>DTDC</t>
        </is>
      </c>
      <c r="I421" t="inlineStr">
        <is>
          <t>Bike</t>
        </is>
      </c>
      <c r="J421" t="inlineStr">
        <is>
          <t>Low</t>
        </is>
      </c>
      <c r="K421" t="inlineStr">
        <is>
          <t>Delivered</t>
        </is>
      </c>
      <c r="L421" t="n">
        <v>796.1799999999999</v>
      </c>
      <c r="M421" t="n">
        <v>2270</v>
      </c>
      <c r="N421" t="n">
        <v>31.2</v>
      </c>
      <c r="O421" t="n">
        <v>3329.77</v>
      </c>
      <c r="P421" t="n">
        <v>623.09</v>
      </c>
      <c r="Q421">
        <f>ROUND(L421*M421*N421/1000+O421+P421,2)</f>
        <v/>
      </c>
      <c r="R421" t="inlineStr">
        <is>
          <t>No</t>
        </is>
      </c>
      <c r="S421">
        <f>IF(OR(E421="",D421=""),"",MAX(0,E421-D421))</f>
        <v/>
      </c>
      <c r="T421" t="inlineStr">
        <is>
          <t>Yes</t>
        </is>
      </c>
      <c r="U421" t="n">
        <v>72</v>
      </c>
      <c r="V421" t="inlineStr">
        <is>
          <t>Pending</t>
        </is>
      </c>
      <c r="W421" t="n">
        <v>3</v>
      </c>
      <c r="X421" t="inlineStr">
        <is>
          <t>Customs</t>
        </is>
      </c>
    </row>
    <row r="422">
      <c r="A422" t="inlineStr">
        <is>
          <t>ORD-2026-00421</t>
        </is>
      </c>
      <c r="B422" t="inlineStr">
        <is>
          <t>CUST-0138</t>
        </is>
      </c>
      <c r="C422" s="3" t="n">
        <v>46127</v>
      </c>
      <c r="D422" s="3" t="n">
        <v>46135</v>
      </c>
      <c r="E422" s="3" t="n">
        <v>46135</v>
      </c>
      <c r="F422" t="inlineStr">
        <is>
          <t>Chennai</t>
        </is>
      </c>
      <c r="G422" t="inlineStr">
        <is>
          <t>Surat</t>
        </is>
      </c>
      <c r="H422" t="inlineStr">
        <is>
          <t>Delhivery</t>
        </is>
      </c>
      <c r="I422" t="inlineStr">
        <is>
          <t>Van</t>
        </is>
      </c>
      <c r="J422" t="inlineStr">
        <is>
          <t>Low</t>
        </is>
      </c>
      <c r="K422" t="inlineStr">
        <is>
          <t>Delivered</t>
        </is>
      </c>
      <c r="L422" t="n">
        <v>509.04</v>
      </c>
      <c r="M422" t="n">
        <v>588</v>
      </c>
      <c r="N422" t="n">
        <v>29.28</v>
      </c>
      <c r="O422" t="n">
        <v>781.03</v>
      </c>
      <c r="P422" t="n">
        <v>1177.4</v>
      </c>
      <c r="Q422">
        <f>ROUND(L422*M422*N422/1000+O422+P422,2)</f>
        <v/>
      </c>
      <c r="R422" t="inlineStr">
        <is>
          <t>Yes</t>
        </is>
      </c>
      <c r="S422">
        <f>IF(OR(E422="",D422=""),"",MAX(0,E422-D422))</f>
        <v/>
      </c>
      <c r="T422" t="inlineStr">
        <is>
          <t>No</t>
        </is>
      </c>
      <c r="U422" t="n">
        <v>80</v>
      </c>
      <c r="V422" t="inlineStr">
        <is>
          <t>COD</t>
        </is>
      </c>
      <c r="W422" t="n">
        <v>2</v>
      </c>
      <c r="X422" t="inlineStr">
        <is>
          <t>None</t>
        </is>
      </c>
    </row>
    <row r="423">
      <c r="A423" t="inlineStr">
        <is>
          <t>ORD-2026-00422</t>
        </is>
      </c>
      <c r="B423" t="inlineStr">
        <is>
          <t>CUST-0073</t>
        </is>
      </c>
      <c r="C423" s="3" t="n">
        <v>46038</v>
      </c>
      <c r="D423" s="3" t="n">
        <v>46046</v>
      </c>
      <c r="E423" s="3" t="n">
        <v>46046</v>
      </c>
      <c r="F423" t="inlineStr">
        <is>
          <t>Ahmedabad</t>
        </is>
      </c>
      <c r="G423" t="inlineStr">
        <is>
          <t>Delhi</t>
        </is>
      </c>
      <c r="H423" t="inlineStr">
        <is>
          <t>Maersk</t>
        </is>
      </c>
      <c r="I423" t="inlineStr">
        <is>
          <t>Bike</t>
        </is>
      </c>
      <c r="J423" t="inlineStr">
        <is>
          <t>Low</t>
        </is>
      </c>
      <c r="K423" t="inlineStr">
        <is>
          <t>Delivered</t>
        </is>
      </c>
      <c r="L423" t="n">
        <v>1700.15</v>
      </c>
      <c r="M423" t="n">
        <v>1444</v>
      </c>
      <c r="N423" t="n">
        <v>56.02</v>
      </c>
      <c r="O423" t="n">
        <v>5881.51</v>
      </c>
      <c r="P423" t="n">
        <v>1264.21</v>
      </c>
      <c r="Q423">
        <f>ROUND(L423*M423*N423/1000+O423+P423,2)</f>
        <v/>
      </c>
      <c r="R423" t="inlineStr">
        <is>
          <t>Yes</t>
        </is>
      </c>
      <c r="S423">
        <f>IF(OR(E423="",D423=""),"",MAX(0,E423-D423))</f>
        <v/>
      </c>
      <c r="T423" t="inlineStr">
        <is>
          <t>No</t>
        </is>
      </c>
      <c r="U423" t="n">
        <v>12</v>
      </c>
      <c r="V423" t="inlineStr">
        <is>
          <t>Failed</t>
        </is>
      </c>
      <c r="W423" t="n">
        <v>1</v>
      </c>
      <c r="X423" t="inlineStr">
        <is>
          <t>Customer Unavailable</t>
        </is>
      </c>
    </row>
    <row r="424">
      <c r="A424" t="inlineStr">
        <is>
          <t>ORD-2026-00423</t>
        </is>
      </c>
      <c r="B424" t="inlineStr">
        <is>
          <t>CUST-0193</t>
        </is>
      </c>
      <c r="C424" s="3" t="n">
        <v>46058</v>
      </c>
      <c r="D424" s="3" t="n">
        <v>46063</v>
      </c>
      <c r="E424" s="3" t="n">
        <v>46066</v>
      </c>
      <c r="F424" t="inlineStr">
        <is>
          <t>Jaipur</t>
        </is>
      </c>
      <c r="G424" t="inlineStr">
        <is>
          <t>Pune</t>
        </is>
      </c>
      <c r="H424" t="inlineStr">
        <is>
          <t>DHL</t>
        </is>
      </c>
      <c r="I424" t="inlineStr">
        <is>
          <t>Refrigerated Truck</t>
        </is>
      </c>
      <c r="J424" t="inlineStr">
        <is>
          <t>High</t>
        </is>
      </c>
      <c r="K424" t="inlineStr">
        <is>
          <t>Delivered</t>
        </is>
      </c>
      <c r="L424" t="n">
        <v>1262.3</v>
      </c>
      <c r="M424" t="n">
        <v>1308</v>
      </c>
      <c r="N424" t="n">
        <v>58.38</v>
      </c>
      <c r="O424" t="n">
        <v>8359.42</v>
      </c>
      <c r="P424" t="n">
        <v>960.05</v>
      </c>
      <c r="Q424">
        <f>ROUND(L424*M424*N424/1000+O424+P424,2)</f>
        <v/>
      </c>
      <c r="R424" t="inlineStr">
        <is>
          <t>No</t>
        </is>
      </c>
      <c r="S424">
        <f>IF(OR(E424="",D424=""),"",MAX(0,E424-D424))</f>
        <v/>
      </c>
      <c r="T424" t="inlineStr">
        <is>
          <t>Yes</t>
        </is>
      </c>
      <c r="U424" t="n">
        <v>59</v>
      </c>
      <c r="V424" t="inlineStr">
        <is>
          <t>COD</t>
        </is>
      </c>
      <c r="W424" t="n">
        <v>1</v>
      </c>
      <c r="X424" t="inlineStr">
        <is>
          <t>Damaged Package</t>
        </is>
      </c>
    </row>
    <row r="425">
      <c r="A425" t="inlineStr">
        <is>
          <t>ORD-2026-00424</t>
        </is>
      </c>
      <c r="B425" t="inlineStr">
        <is>
          <t>CUST-0101</t>
        </is>
      </c>
      <c r="C425" s="3" t="n">
        <v>46057</v>
      </c>
      <c r="D425" s="3" t="n">
        <v>46058</v>
      </c>
      <c r="E425" s="3" t="n"/>
      <c r="F425" t="inlineStr">
        <is>
          <t>Surat</t>
        </is>
      </c>
      <c r="G425" t="inlineStr">
        <is>
          <t>Mumbai</t>
        </is>
      </c>
      <c r="H425" t="inlineStr">
        <is>
          <t>Aramex</t>
        </is>
      </c>
      <c r="I425" t="inlineStr">
        <is>
          <t>Van</t>
        </is>
      </c>
      <c r="J425" t="inlineStr">
        <is>
          <t>Low</t>
        </is>
      </c>
      <c r="K425" t="inlineStr">
        <is>
          <t>In Transit</t>
        </is>
      </c>
      <c r="L425" t="n">
        <v>1681.93</v>
      </c>
      <c r="M425" t="n">
        <v>1697</v>
      </c>
      <c r="N425" t="n">
        <v>39.68</v>
      </c>
      <c r="O425" t="n">
        <v>8130.58</v>
      </c>
      <c r="P425" t="n">
        <v>743.6900000000001</v>
      </c>
      <c r="Q425">
        <f>ROUND(L425*M425*N425/1000+O425+P425,2)</f>
        <v/>
      </c>
      <c r="R425" t="inlineStr">
        <is>
          <t>No</t>
        </is>
      </c>
      <c r="S425">
        <f>IF(OR(E425="",D425=""),"",MAX(0,E425-D425))</f>
        <v/>
      </c>
      <c r="T425" t="inlineStr">
        <is>
          <t>No</t>
        </is>
      </c>
      <c r="U425" t="n">
        <v>16</v>
      </c>
      <c r="V425" t="inlineStr">
        <is>
          <t>COD</t>
        </is>
      </c>
      <c r="W425" t="n">
        <v>4</v>
      </c>
      <c r="X425" t="inlineStr">
        <is>
          <t>Customer Unavailable</t>
        </is>
      </c>
    </row>
    <row r="426">
      <c r="A426" t="inlineStr">
        <is>
          <t>ORD-2026-00425</t>
        </is>
      </c>
      <c r="B426" t="inlineStr">
        <is>
          <t>CUST-0003</t>
        </is>
      </c>
      <c r="C426" s="3" t="n">
        <v>46176</v>
      </c>
      <c r="D426" s="3" t="n">
        <v>46182</v>
      </c>
      <c r="E426" s="3" t="n">
        <v>46182</v>
      </c>
      <c r="F426" t="inlineStr">
        <is>
          <t>Bengaluru</t>
        </is>
      </c>
      <c r="G426" t="inlineStr">
        <is>
          <t>Ahmedabad</t>
        </is>
      </c>
      <c r="H426" t="inlineStr">
        <is>
          <t>Aramex</t>
        </is>
      </c>
      <c r="I426" t="inlineStr">
        <is>
          <t>Refrigerated Truck</t>
        </is>
      </c>
      <c r="J426" t="inlineStr">
        <is>
          <t>High</t>
        </is>
      </c>
      <c r="K426" t="inlineStr">
        <is>
          <t>Delivered</t>
        </is>
      </c>
      <c r="L426" t="n">
        <v>2029.77</v>
      </c>
      <c r="M426" t="n">
        <v>39</v>
      </c>
      <c r="N426" t="n">
        <v>15.11</v>
      </c>
      <c r="O426" t="n">
        <v>62.47</v>
      </c>
      <c r="P426" t="n">
        <v>305.63</v>
      </c>
      <c r="Q426">
        <f>ROUND(L426*M426*N426/1000+O426+P426,2)</f>
        <v/>
      </c>
      <c r="R426" t="inlineStr">
        <is>
          <t>Yes</t>
        </is>
      </c>
      <c r="S426">
        <f>IF(OR(E426="",D426=""),"",MAX(0,E426-D426))</f>
        <v/>
      </c>
      <c r="T426" t="inlineStr">
        <is>
          <t>Yes</t>
        </is>
      </c>
      <c r="U426" t="n">
        <v>12</v>
      </c>
      <c r="V426" t="inlineStr">
        <is>
          <t>COD</t>
        </is>
      </c>
      <c r="W426" t="n">
        <v>2</v>
      </c>
      <c r="X426" t="inlineStr">
        <is>
          <t>Address Error</t>
        </is>
      </c>
    </row>
    <row r="427">
      <c r="A427" t="inlineStr">
        <is>
          <t>ORD-2026-00426</t>
        </is>
      </c>
      <c r="B427" t="inlineStr">
        <is>
          <t>CUST-0102</t>
        </is>
      </c>
      <c r="C427" s="3" t="n">
        <v>46149</v>
      </c>
      <c r="D427" s="3" t="n">
        <v>46155</v>
      </c>
      <c r="E427" s="3" t="n">
        <v>46155</v>
      </c>
      <c r="F427" t="inlineStr">
        <is>
          <t>Mumbai</t>
        </is>
      </c>
      <c r="G427" t="inlineStr">
        <is>
          <t>Pune</t>
        </is>
      </c>
      <c r="H427" t="inlineStr">
        <is>
          <t>DTDC</t>
        </is>
      </c>
      <c r="I427" t="inlineStr">
        <is>
          <t>Bike</t>
        </is>
      </c>
      <c r="J427" t="inlineStr">
        <is>
          <t>Critical</t>
        </is>
      </c>
      <c r="K427" t="inlineStr">
        <is>
          <t>Delivered</t>
        </is>
      </c>
      <c r="L427" t="n">
        <v>1760.27</v>
      </c>
      <c r="M427" t="n">
        <v>2487</v>
      </c>
      <c r="N427" t="n">
        <v>19.92</v>
      </c>
      <c r="O427" t="n">
        <v>3642.16</v>
      </c>
      <c r="P427" t="n">
        <v>1235.26</v>
      </c>
      <c r="Q427">
        <f>ROUND(L427*M427*N427/1000+O427+P427,2)</f>
        <v/>
      </c>
      <c r="R427" t="inlineStr">
        <is>
          <t>Yes</t>
        </is>
      </c>
      <c r="S427">
        <f>IF(OR(E427="",D427=""),"",MAX(0,E427-D427))</f>
        <v/>
      </c>
      <c r="T427" t="inlineStr">
        <is>
          <t>Yes</t>
        </is>
      </c>
      <c r="U427" t="n">
        <v>71</v>
      </c>
      <c r="V427" t="inlineStr">
        <is>
          <t>Pending</t>
        </is>
      </c>
      <c r="W427" t="n">
        <v>5</v>
      </c>
      <c r="X427" t="inlineStr">
        <is>
          <t>Damaged Package</t>
        </is>
      </c>
    </row>
    <row r="428">
      <c r="A428" t="inlineStr">
        <is>
          <t>ORD-2026-00427</t>
        </is>
      </c>
      <c r="B428" t="inlineStr">
        <is>
          <t>CUST-0187</t>
        </is>
      </c>
      <c r="C428" s="3" t="n">
        <v>46197</v>
      </c>
      <c r="D428" s="3" t="n">
        <v>46200</v>
      </c>
      <c r="E428" s="3" t="n">
        <v>46200</v>
      </c>
      <c r="F428" t="inlineStr">
        <is>
          <t>Pune</t>
        </is>
      </c>
      <c r="G428" t="inlineStr">
        <is>
          <t>Bengaluru</t>
        </is>
      </c>
      <c r="H428" t="inlineStr">
        <is>
          <t>Aramex</t>
        </is>
      </c>
      <c r="I428" t="inlineStr">
        <is>
          <t>Van</t>
        </is>
      </c>
      <c r="J428" t="inlineStr">
        <is>
          <t>High</t>
        </is>
      </c>
      <c r="K428" t="inlineStr">
        <is>
          <t>Delivered</t>
        </is>
      </c>
      <c r="L428" t="n">
        <v>163.09</v>
      </c>
      <c r="M428" t="n">
        <v>1068</v>
      </c>
      <c r="N428" t="n">
        <v>61.21</v>
      </c>
      <c r="O428" t="n">
        <v>867.09</v>
      </c>
      <c r="P428" t="n">
        <v>1323.88</v>
      </c>
      <c r="Q428">
        <f>ROUND(L428*M428*N428/1000+O428+P428,2)</f>
        <v/>
      </c>
      <c r="R428" t="inlineStr">
        <is>
          <t>Yes</t>
        </is>
      </c>
      <c r="S428">
        <f>IF(OR(E428="",D428=""),"",MAX(0,E428-D428))</f>
        <v/>
      </c>
      <c r="T428" t="inlineStr">
        <is>
          <t>No</t>
        </is>
      </c>
      <c r="U428" t="n">
        <v>1</v>
      </c>
      <c r="V428" t="inlineStr">
        <is>
          <t>Failed</t>
        </is>
      </c>
      <c r="W428" t="n">
        <v>1</v>
      </c>
      <c r="X428" t="inlineStr">
        <is>
          <t>Customer Unavailable</t>
        </is>
      </c>
    </row>
    <row r="429">
      <c r="A429" t="inlineStr">
        <is>
          <t>ORD-2026-00428</t>
        </is>
      </c>
      <c r="B429" t="inlineStr">
        <is>
          <t>CUST-0227</t>
        </is>
      </c>
      <c r="C429" s="3" t="n">
        <v>46105</v>
      </c>
      <c r="D429" s="3" t="n">
        <v>46112</v>
      </c>
      <c r="E429" s="3" t="n">
        <v>46115</v>
      </c>
      <c r="F429" t="inlineStr">
        <is>
          <t>Bengaluru</t>
        </is>
      </c>
      <c r="G429" t="inlineStr">
        <is>
          <t>Ahmedabad</t>
        </is>
      </c>
      <c r="H429" t="inlineStr">
        <is>
          <t>FedEx</t>
        </is>
      </c>
      <c r="I429" t="inlineStr">
        <is>
          <t>Container</t>
        </is>
      </c>
      <c r="J429" t="inlineStr">
        <is>
          <t>Critical</t>
        </is>
      </c>
      <c r="K429" t="inlineStr">
        <is>
          <t>Delivered</t>
        </is>
      </c>
      <c r="L429" t="n">
        <v>304.73</v>
      </c>
      <c r="M429" t="n">
        <v>2127</v>
      </c>
      <c r="N429" t="n">
        <v>34.6</v>
      </c>
      <c r="O429" t="n">
        <v>1159.18</v>
      </c>
      <c r="P429" t="n">
        <v>1143.35</v>
      </c>
      <c r="Q429">
        <f>ROUND(L429*M429*N429/1000+O429+P429,2)</f>
        <v/>
      </c>
      <c r="R429" t="inlineStr">
        <is>
          <t>No</t>
        </is>
      </c>
      <c r="S429">
        <f>IF(OR(E429="",D429=""),"",MAX(0,E429-D429))</f>
        <v/>
      </c>
      <c r="T429" t="inlineStr">
        <is>
          <t>No</t>
        </is>
      </c>
      <c r="U429" t="n">
        <v>1</v>
      </c>
      <c r="V429" t="inlineStr">
        <is>
          <t>Failed</t>
        </is>
      </c>
      <c r="W429" t="n">
        <v>2</v>
      </c>
      <c r="X429" t="inlineStr">
        <is>
          <t>Vehicle Breakdown</t>
        </is>
      </c>
    </row>
    <row r="430">
      <c r="A430" t="inlineStr">
        <is>
          <t>ORD-2026-00429</t>
        </is>
      </c>
      <c r="B430" t="inlineStr">
        <is>
          <t>CUST-0017</t>
        </is>
      </c>
      <c r="C430" s="3" t="n">
        <v>46043</v>
      </c>
      <c r="D430" s="3" t="n">
        <v>46044</v>
      </c>
      <c r="E430" s="3" t="n">
        <v>46054</v>
      </c>
      <c r="F430" t="inlineStr">
        <is>
          <t>Mumbai</t>
        </is>
      </c>
      <c r="G430" t="inlineStr">
        <is>
          <t>Ahmedabad</t>
        </is>
      </c>
      <c r="H430" t="inlineStr">
        <is>
          <t>Delhivery</t>
        </is>
      </c>
      <c r="I430" t="inlineStr">
        <is>
          <t>Container</t>
        </is>
      </c>
      <c r="J430" t="inlineStr">
        <is>
          <t>Low</t>
        </is>
      </c>
      <c r="K430" t="inlineStr">
        <is>
          <t>Delivered</t>
        </is>
      </c>
      <c r="L430" t="n">
        <v>1724.03</v>
      </c>
      <c r="M430" t="n">
        <v>309</v>
      </c>
      <c r="N430" t="n">
        <v>60.27</v>
      </c>
      <c r="O430" t="n">
        <v>1342.49</v>
      </c>
      <c r="P430" t="n">
        <v>507.25</v>
      </c>
      <c r="Q430">
        <f>ROUND(L430*M430*N430/1000+O430+P430,2)</f>
        <v/>
      </c>
      <c r="R430" t="inlineStr">
        <is>
          <t>No</t>
        </is>
      </c>
      <c r="S430">
        <f>IF(OR(E430="",D430=""),"",MAX(0,E430-D430))</f>
        <v/>
      </c>
      <c r="T430" t="inlineStr">
        <is>
          <t>No</t>
        </is>
      </c>
      <c r="U430" t="n">
        <v>33</v>
      </c>
      <c r="V430" t="inlineStr">
        <is>
          <t>Pending</t>
        </is>
      </c>
      <c r="W430" t="n">
        <v>1</v>
      </c>
      <c r="X430" t="inlineStr">
        <is>
          <t>Weather</t>
        </is>
      </c>
    </row>
    <row r="431">
      <c r="A431" t="inlineStr">
        <is>
          <t>ORD-2026-00430</t>
        </is>
      </c>
      <c r="B431" t="inlineStr">
        <is>
          <t>CUST-0196</t>
        </is>
      </c>
      <c r="C431" s="3" t="n">
        <v>46084</v>
      </c>
      <c r="D431" s="3" t="n">
        <v>46090</v>
      </c>
      <c r="E431" s="3" t="n">
        <v>46093</v>
      </c>
      <c r="F431" t="inlineStr">
        <is>
          <t>Mumbai</t>
        </is>
      </c>
      <c r="G431" t="inlineStr">
        <is>
          <t>Jaipur</t>
        </is>
      </c>
      <c r="H431" t="inlineStr">
        <is>
          <t>DTDC</t>
        </is>
      </c>
      <c r="I431" t="inlineStr">
        <is>
          <t>Van</t>
        </is>
      </c>
      <c r="J431" t="inlineStr">
        <is>
          <t>Low</t>
        </is>
      </c>
      <c r="K431" t="inlineStr">
        <is>
          <t>Delivered</t>
        </is>
      </c>
      <c r="L431" t="n">
        <v>1299.43</v>
      </c>
      <c r="M431" t="n">
        <v>974</v>
      </c>
      <c r="N431" t="n">
        <v>61.78</v>
      </c>
      <c r="O431" t="n">
        <v>5985.17</v>
      </c>
      <c r="P431" t="n">
        <v>936.96</v>
      </c>
      <c r="Q431">
        <f>ROUND(L431*M431*N431/1000+O431+P431,2)</f>
        <v/>
      </c>
      <c r="R431" t="inlineStr">
        <is>
          <t>No</t>
        </is>
      </c>
      <c r="S431">
        <f>IF(OR(E431="",D431=""),"",MAX(0,E431-D431))</f>
        <v/>
      </c>
      <c r="T431" t="inlineStr">
        <is>
          <t>Yes</t>
        </is>
      </c>
      <c r="U431" t="n">
        <v>5</v>
      </c>
      <c r="V431" t="inlineStr">
        <is>
          <t>Failed</t>
        </is>
      </c>
      <c r="W431" t="n">
        <v>3</v>
      </c>
      <c r="X431" t="inlineStr">
        <is>
          <t>Customer Unavailable</t>
        </is>
      </c>
    </row>
    <row r="432">
      <c r="A432" t="inlineStr">
        <is>
          <t>ORD-2026-00431</t>
        </is>
      </c>
      <c r="B432" t="inlineStr">
        <is>
          <t>CUST-0144</t>
        </is>
      </c>
      <c r="C432" s="3" t="n">
        <v>46200</v>
      </c>
      <c r="D432" s="3" t="n">
        <v>46202</v>
      </c>
      <c r="E432" s="3" t="n"/>
      <c r="F432" t="inlineStr">
        <is>
          <t>Ahmedabad</t>
        </is>
      </c>
      <c r="G432" t="inlineStr">
        <is>
          <t>Pune</t>
        </is>
      </c>
      <c r="H432" t="inlineStr">
        <is>
          <t>Aramex</t>
        </is>
      </c>
      <c r="I432" t="inlineStr">
        <is>
          <t>Container</t>
        </is>
      </c>
      <c r="J432" t="inlineStr">
        <is>
          <t>Critical</t>
        </is>
      </c>
      <c r="K432" t="inlineStr">
        <is>
          <t>Exception</t>
        </is>
      </c>
      <c r="L432" t="n">
        <v>137.44</v>
      </c>
      <c r="M432" t="n">
        <v>2506</v>
      </c>
      <c r="N432" t="n">
        <v>43.69</v>
      </c>
      <c r="O432" t="n">
        <v>510.84</v>
      </c>
      <c r="P432" t="n">
        <v>1022.8</v>
      </c>
      <c r="Q432">
        <f>ROUND(L432*M432*N432/1000+O432+P432,2)</f>
        <v/>
      </c>
      <c r="R432" t="inlineStr">
        <is>
          <t>No</t>
        </is>
      </c>
      <c r="S432">
        <f>IF(OR(E432="",D432=""),"",MAX(0,E432-D432))</f>
        <v/>
      </c>
      <c r="T432" t="inlineStr">
        <is>
          <t>Yes</t>
        </is>
      </c>
      <c r="U432" t="n">
        <v>80</v>
      </c>
      <c r="V432" t="inlineStr">
        <is>
          <t>Failed</t>
        </is>
      </c>
      <c r="W432" t="n">
        <v>2</v>
      </c>
      <c r="X432" t="inlineStr">
        <is>
          <t>Customer Unavailable</t>
        </is>
      </c>
    </row>
    <row r="433">
      <c r="A433" t="inlineStr">
        <is>
          <t>ORD-2026-00432</t>
        </is>
      </c>
      <c r="B433" t="inlineStr">
        <is>
          <t>CUST-0201</t>
        </is>
      </c>
      <c r="C433" s="3" t="n">
        <v>46176</v>
      </c>
      <c r="D433" s="3" t="n">
        <v>46177</v>
      </c>
      <c r="E433" s="3" t="n">
        <v>46177</v>
      </c>
      <c r="F433" t="inlineStr">
        <is>
          <t>Ahmedabad</t>
        </is>
      </c>
      <c r="G433" t="inlineStr">
        <is>
          <t>Jaipur</t>
        </is>
      </c>
      <c r="H433" t="inlineStr">
        <is>
          <t>DTDC</t>
        </is>
      </c>
      <c r="I433" t="inlineStr">
        <is>
          <t>Refrigerated Truck</t>
        </is>
      </c>
      <c r="J433" t="inlineStr">
        <is>
          <t>Normal</t>
        </is>
      </c>
      <c r="K433" t="inlineStr">
        <is>
          <t>Delivered</t>
        </is>
      </c>
      <c r="L433" t="n">
        <v>1070.55</v>
      </c>
      <c r="M433" t="n">
        <v>2545</v>
      </c>
      <c r="N433" t="n">
        <v>43.3</v>
      </c>
      <c r="O433" t="n">
        <v>5943.12</v>
      </c>
      <c r="P433" t="n">
        <v>1407.63</v>
      </c>
      <c r="Q433">
        <f>ROUND(L433*M433*N433/1000+O433+P433,2)</f>
        <v/>
      </c>
      <c r="R433" t="inlineStr">
        <is>
          <t>Yes</t>
        </is>
      </c>
      <c r="S433">
        <f>IF(OR(E433="",D433=""),"",MAX(0,E433-D433))</f>
        <v/>
      </c>
      <c r="T433" t="inlineStr">
        <is>
          <t>Yes</t>
        </is>
      </c>
      <c r="U433" t="n">
        <v>14</v>
      </c>
      <c r="V433" t="inlineStr">
        <is>
          <t>Paid</t>
        </is>
      </c>
      <c r="W433" t="n">
        <v>5</v>
      </c>
      <c r="X433" t="inlineStr">
        <is>
          <t>Damaged Package</t>
        </is>
      </c>
    </row>
    <row r="434">
      <c r="A434" t="inlineStr">
        <is>
          <t>ORD-2026-00433</t>
        </is>
      </c>
      <c r="B434" t="inlineStr">
        <is>
          <t>CUST-0063</t>
        </is>
      </c>
      <c r="C434" s="3" t="n">
        <v>46040</v>
      </c>
      <c r="D434" s="3" t="n">
        <v>46044</v>
      </c>
      <c r="E434" s="3" t="n">
        <v>46049</v>
      </c>
      <c r="F434" t="inlineStr">
        <is>
          <t>Delhi</t>
        </is>
      </c>
      <c r="G434" t="inlineStr">
        <is>
          <t>Ahmedabad</t>
        </is>
      </c>
      <c r="H434" t="inlineStr">
        <is>
          <t>BlueDart</t>
        </is>
      </c>
      <c r="I434" t="inlineStr">
        <is>
          <t>Truck</t>
        </is>
      </c>
      <c r="J434" t="inlineStr">
        <is>
          <t>High</t>
        </is>
      </c>
      <c r="K434" t="inlineStr">
        <is>
          <t>Delivered</t>
        </is>
      </c>
      <c r="L434" t="n">
        <v>1272.49</v>
      </c>
      <c r="M434" t="n">
        <v>1460</v>
      </c>
      <c r="N434" t="n">
        <v>32</v>
      </c>
      <c r="O434" t="n">
        <v>4368.28</v>
      </c>
      <c r="P434" t="n">
        <v>678.04</v>
      </c>
      <c r="Q434">
        <f>ROUND(L434*M434*N434/1000+O434+P434,2)</f>
        <v/>
      </c>
      <c r="R434" t="inlineStr">
        <is>
          <t>No</t>
        </is>
      </c>
      <c r="S434">
        <f>IF(OR(E434="",D434=""),"",MAX(0,E434-D434))</f>
        <v/>
      </c>
      <c r="T434" t="inlineStr">
        <is>
          <t>No</t>
        </is>
      </c>
      <c r="U434" t="n">
        <v>66</v>
      </c>
      <c r="V434" t="inlineStr">
        <is>
          <t>COD</t>
        </is>
      </c>
      <c r="W434" t="n">
        <v>3</v>
      </c>
      <c r="X434" t="inlineStr">
        <is>
          <t>Customs</t>
        </is>
      </c>
    </row>
    <row r="435">
      <c r="A435" t="inlineStr">
        <is>
          <t>ORD-2026-00434</t>
        </is>
      </c>
      <c r="B435" t="inlineStr">
        <is>
          <t>CUST-0038</t>
        </is>
      </c>
      <c r="C435" s="3" t="n">
        <v>46161</v>
      </c>
      <c r="D435" s="3" t="n">
        <v>46164</v>
      </c>
      <c r="E435" s="3" t="n">
        <v>46164</v>
      </c>
      <c r="F435" t="inlineStr">
        <is>
          <t>Ahmedabad</t>
        </is>
      </c>
      <c r="G435" t="inlineStr">
        <is>
          <t>Bengaluru</t>
        </is>
      </c>
      <c r="H435" t="inlineStr">
        <is>
          <t>DTDC</t>
        </is>
      </c>
      <c r="I435" t="inlineStr">
        <is>
          <t>Bike</t>
        </is>
      </c>
      <c r="J435" t="inlineStr">
        <is>
          <t>Low</t>
        </is>
      </c>
      <c r="K435" t="inlineStr">
        <is>
          <t>Delivered</t>
        </is>
      </c>
      <c r="L435" t="n">
        <v>857.58</v>
      </c>
      <c r="M435" t="n">
        <v>1515</v>
      </c>
      <c r="N435" t="n">
        <v>63.31</v>
      </c>
      <c r="O435" t="n">
        <v>5022.53</v>
      </c>
      <c r="P435" t="n">
        <v>993.36</v>
      </c>
      <c r="Q435">
        <f>ROUND(L435*M435*N435/1000+O435+P435,2)</f>
        <v/>
      </c>
      <c r="R435" t="inlineStr">
        <is>
          <t>Yes</t>
        </is>
      </c>
      <c r="S435">
        <f>IF(OR(E435="",D435=""),"",MAX(0,E435-D435))</f>
        <v/>
      </c>
      <c r="T435" t="inlineStr">
        <is>
          <t>No</t>
        </is>
      </c>
      <c r="U435" t="n">
        <v>45</v>
      </c>
      <c r="V435" t="inlineStr">
        <is>
          <t>Pending</t>
        </is>
      </c>
      <c r="W435" t="n">
        <v>2</v>
      </c>
      <c r="X435" t="inlineStr">
        <is>
          <t>Damaged Package</t>
        </is>
      </c>
    </row>
    <row r="436">
      <c r="A436" t="inlineStr">
        <is>
          <t>ORD-2026-00435</t>
        </is>
      </c>
      <c r="B436" t="inlineStr">
        <is>
          <t>CUST-0247</t>
        </is>
      </c>
      <c r="C436" s="3" t="n">
        <v>46074</v>
      </c>
      <c r="D436" s="3" t="n">
        <v>46076</v>
      </c>
      <c r="E436" s="3" t="n">
        <v>46076</v>
      </c>
      <c r="F436" t="inlineStr">
        <is>
          <t>Hyderabad</t>
        </is>
      </c>
      <c r="G436" t="inlineStr">
        <is>
          <t>Kolkata</t>
        </is>
      </c>
      <c r="H436" t="inlineStr">
        <is>
          <t>FedEx</t>
        </is>
      </c>
      <c r="I436" t="inlineStr">
        <is>
          <t>Container</t>
        </is>
      </c>
      <c r="J436" t="inlineStr">
        <is>
          <t>High</t>
        </is>
      </c>
      <c r="K436" t="inlineStr">
        <is>
          <t>Delivered</t>
        </is>
      </c>
      <c r="L436" t="n">
        <v>1737.11</v>
      </c>
      <c r="M436" t="n">
        <v>1919</v>
      </c>
      <c r="N436" t="n">
        <v>42.19</v>
      </c>
      <c r="O436" t="n">
        <v>7013.59</v>
      </c>
      <c r="P436" t="n">
        <v>876.05</v>
      </c>
      <c r="Q436">
        <f>ROUND(L436*M436*N436/1000+O436+P436,2)</f>
        <v/>
      </c>
      <c r="R436" t="inlineStr">
        <is>
          <t>Yes</t>
        </is>
      </c>
      <c r="S436">
        <f>IF(OR(E436="",D436=""),"",MAX(0,E436-D436))</f>
        <v/>
      </c>
      <c r="T436" t="inlineStr">
        <is>
          <t>Yes</t>
        </is>
      </c>
      <c r="U436" t="n">
        <v>14</v>
      </c>
      <c r="V436" t="inlineStr">
        <is>
          <t>Failed</t>
        </is>
      </c>
      <c r="W436" t="n">
        <v>1</v>
      </c>
      <c r="X436" t="inlineStr">
        <is>
          <t>Weather</t>
        </is>
      </c>
    </row>
    <row r="437">
      <c r="A437" t="inlineStr">
        <is>
          <t>ORD-2026-00436</t>
        </is>
      </c>
      <c r="B437" t="inlineStr">
        <is>
          <t>CUST-0085</t>
        </is>
      </c>
      <c r="C437" s="3" t="n">
        <v>46079</v>
      </c>
      <c r="D437" s="3" t="n">
        <v>46080</v>
      </c>
      <c r="E437" s="3" t="n">
        <v>46081</v>
      </c>
      <c r="F437" t="inlineStr">
        <is>
          <t>Chennai</t>
        </is>
      </c>
      <c r="G437" t="inlineStr">
        <is>
          <t>Bengaluru</t>
        </is>
      </c>
      <c r="H437" t="inlineStr">
        <is>
          <t>Delhivery</t>
        </is>
      </c>
      <c r="I437" t="inlineStr">
        <is>
          <t>Truck</t>
        </is>
      </c>
      <c r="J437" t="inlineStr">
        <is>
          <t>Low</t>
        </is>
      </c>
      <c r="K437" t="inlineStr">
        <is>
          <t>Delivered</t>
        </is>
      </c>
      <c r="L437" t="n">
        <v>1166.61</v>
      </c>
      <c r="M437" t="n">
        <v>878</v>
      </c>
      <c r="N437" t="n">
        <v>21.62</v>
      </c>
      <c r="O437" t="n">
        <v>1640.4</v>
      </c>
      <c r="P437" t="n">
        <v>1429.83</v>
      </c>
      <c r="Q437">
        <f>ROUND(L437*M437*N437/1000+O437+P437,2)</f>
        <v/>
      </c>
      <c r="R437" t="inlineStr">
        <is>
          <t>No</t>
        </is>
      </c>
      <c r="S437">
        <f>IF(OR(E437="",D437=""),"",MAX(0,E437-D437))</f>
        <v/>
      </c>
      <c r="T437" t="inlineStr">
        <is>
          <t>No</t>
        </is>
      </c>
      <c r="U437" t="n">
        <v>2</v>
      </c>
      <c r="V437" t="inlineStr">
        <is>
          <t>Paid</t>
        </is>
      </c>
      <c r="W437" t="n">
        <v>3</v>
      </c>
      <c r="X437" t="inlineStr">
        <is>
          <t>None</t>
        </is>
      </c>
    </row>
    <row r="438">
      <c r="A438" t="inlineStr">
        <is>
          <t>ORD-2026-00437</t>
        </is>
      </c>
      <c r="B438" t="inlineStr">
        <is>
          <t>CUST-0045</t>
        </is>
      </c>
      <c r="C438" s="3" t="n">
        <v>46165</v>
      </c>
      <c r="D438" s="3" t="n">
        <v>46167</v>
      </c>
      <c r="E438" s="3" t="n">
        <v>46167</v>
      </c>
      <c r="F438" t="inlineStr">
        <is>
          <t>Bengaluru</t>
        </is>
      </c>
      <c r="G438" t="inlineStr">
        <is>
          <t>Pune</t>
        </is>
      </c>
      <c r="H438" t="inlineStr">
        <is>
          <t>Maersk</t>
        </is>
      </c>
      <c r="I438" t="inlineStr">
        <is>
          <t>Truck</t>
        </is>
      </c>
      <c r="J438" t="inlineStr">
        <is>
          <t>High</t>
        </is>
      </c>
      <c r="K438" t="inlineStr">
        <is>
          <t>Delivered</t>
        </is>
      </c>
      <c r="L438" t="n">
        <v>1578.52</v>
      </c>
      <c r="M438" t="n">
        <v>1479</v>
      </c>
      <c r="N438" t="n">
        <v>10.5</v>
      </c>
      <c r="O438" t="n">
        <v>779.0700000000001</v>
      </c>
      <c r="P438" t="n">
        <v>312.78</v>
      </c>
      <c r="Q438">
        <f>ROUND(L438*M438*N438/1000+O438+P438,2)</f>
        <v/>
      </c>
      <c r="R438" t="inlineStr">
        <is>
          <t>Yes</t>
        </is>
      </c>
      <c r="S438">
        <f>IF(OR(E438="",D438=""),"",MAX(0,E438-D438))</f>
        <v/>
      </c>
      <c r="T438" t="inlineStr">
        <is>
          <t>Yes</t>
        </is>
      </c>
      <c r="U438" t="n">
        <v>23</v>
      </c>
      <c r="V438" t="inlineStr">
        <is>
          <t>Pending</t>
        </is>
      </c>
      <c r="W438" t="n">
        <v>1</v>
      </c>
      <c r="X438" t="inlineStr">
        <is>
          <t>Address Error</t>
        </is>
      </c>
    </row>
    <row r="439">
      <c r="A439" t="inlineStr">
        <is>
          <t>ORD-2026-00438</t>
        </is>
      </c>
      <c r="B439" t="inlineStr">
        <is>
          <t>CUST-0095</t>
        </is>
      </c>
      <c r="C439" s="3" t="n">
        <v>46238</v>
      </c>
      <c r="D439" s="3" t="n">
        <v>46243</v>
      </c>
      <c r="E439" s="3" t="n"/>
      <c r="F439" t="inlineStr">
        <is>
          <t>Hyderabad</t>
        </is>
      </c>
      <c r="G439" t="inlineStr">
        <is>
          <t>Delhi</t>
        </is>
      </c>
      <c r="H439" t="inlineStr">
        <is>
          <t>DTDC</t>
        </is>
      </c>
      <c r="I439" t="inlineStr">
        <is>
          <t>Bike</t>
        </is>
      </c>
      <c r="J439" t="inlineStr">
        <is>
          <t>Critical</t>
        </is>
      </c>
      <c r="K439" t="inlineStr">
        <is>
          <t>Booked</t>
        </is>
      </c>
      <c r="L439" t="n">
        <v>947.62</v>
      </c>
      <c r="M439" t="n">
        <v>459</v>
      </c>
      <c r="N439" t="n">
        <v>27.29</v>
      </c>
      <c r="O439" t="n">
        <v>505.83</v>
      </c>
      <c r="P439" t="n">
        <v>695.1799999999999</v>
      </c>
      <c r="Q439">
        <f>ROUND(L439*M439*N439/1000+O439+P439,2)</f>
        <v/>
      </c>
      <c r="R439" t="inlineStr">
        <is>
          <t>No</t>
        </is>
      </c>
      <c r="S439">
        <f>IF(OR(E439="",D439=""),"",MAX(0,E439-D439))</f>
        <v/>
      </c>
      <c r="T439" t="inlineStr">
        <is>
          <t>Yes</t>
        </is>
      </c>
      <c r="U439" t="n">
        <v>16</v>
      </c>
      <c r="V439" t="inlineStr">
        <is>
          <t>Pending</t>
        </is>
      </c>
      <c r="W439" t="n">
        <v>2</v>
      </c>
      <c r="X439" t="inlineStr">
        <is>
          <t>Customer Unavailable</t>
        </is>
      </c>
    </row>
    <row r="440">
      <c r="A440" t="inlineStr">
        <is>
          <t>ORD-2026-00439</t>
        </is>
      </c>
      <c r="B440" t="inlineStr">
        <is>
          <t>CUST-0158</t>
        </is>
      </c>
      <c r="C440" s="3" t="n">
        <v>46071</v>
      </c>
      <c r="D440" s="3" t="n">
        <v>46075</v>
      </c>
      <c r="E440" s="3" t="n">
        <v>46075</v>
      </c>
      <c r="F440" t="inlineStr">
        <is>
          <t>Kolkata</t>
        </is>
      </c>
      <c r="G440" t="inlineStr">
        <is>
          <t>Bengaluru</t>
        </is>
      </c>
      <c r="H440" t="inlineStr">
        <is>
          <t>Aramex</t>
        </is>
      </c>
      <c r="I440" t="inlineStr">
        <is>
          <t>Bike</t>
        </is>
      </c>
      <c r="J440" t="inlineStr">
        <is>
          <t>High</t>
        </is>
      </c>
      <c r="K440" t="inlineStr">
        <is>
          <t>Delivered</t>
        </is>
      </c>
      <c r="L440" t="n">
        <v>795.22</v>
      </c>
      <c r="M440" t="n">
        <v>1764</v>
      </c>
      <c r="N440" t="n">
        <v>63.69</v>
      </c>
      <c r="O440" t="n">
        <v>3991.19</v>
      </c>
      <c r="P440" t="n">
        <v>88.37</v>
      </c>
      <c r="Q440">
        <f>ROUND(L440*M440*N440/1000+O440+P440,2)</f>
        <v/>
      </c>
      <c r="R440" t="inlineStr">
        <is>
          <t>Yes</t>
        </is>
      </c>
      <c r="S440">
        <f>IF(OR(E440="",D440=""),"",MAX(0,E440-D440))</f>
        <v/>
      </c>
      <c r="T440" t="inlineStr">
        <is>
          <t>Yes</t>
        </is>
      </c>
      <c r="U440" t="n">
        <v>42</v>
      </c>
      <c r="V440" t="inlineStr">
        <is>
          <t>Pending</t>
        </is>
      </c>
      <c r="W440" t="n">
        <v>1</v>
      </c>
      <c r="X440" t="inlineStr">
        <is>
          <t>Damaged Package</t>
        </is>
      </c>
    </row>
    <row r="441">
      <c r="A441" t="inlineStr">
        <is>
          <t>ORD-2026-00440</t>
        </is>
      </c>
      <c r="B441" t="inlineStr">
        <is>
          <t>CUST-0170</t>
        </is>
      </c>
      <c r="C441" s="3" t="n">
        <v>46226</v>
      </c>
      <c r="D441" s="3" t="n">
        <v>46231</v>
      </c>
      <c r="E441" s="3" t="n">
        <v>46234</v>
      </c>
      <c r="F441" t="inlineStr">
        <is>
          <t>Kolkata</t>
        </is>
      </c>
      <c r="G441" t="inlineStr">
        <is>
          <t>Mumbai</t>
        </is>
      </c>
      <c r="H441" t="inlineStr">
        <is>
          <t>DHL</t>
        </is>
      </c>
      <c r="I441" t="inlineStr">
        <is>
          <t>Bike</t>
        </is>
      </c>
      <c r="J441" t="inlineStr">
        <is>
          <t>Critical</t>
        </is>
      </c>
      <c r="K441" t="inlineStr">
        <is>
          <t>Delivered</t>
        </is>
      </c>
      <c r="L441" t="n">
        <v>2420.98</v>
      </c>
      <c r="M441" t="n">
        <v>2007</v>
      </c>
      <c r="N441" t="n">
        <v>19.93</v>
      </c>
      <c r="O441" t="n">
        <v>3378.14</v>
      </c>
      <c r="P441" t="n">
        <v>716.59</v>
      </c>
      <c r="Q441">
        <f>ROUND(L441*M441*N441/1000+O441+P441,2)</f>
        <v/>
      </c>
      <c r="R441" t="inlineStr">
        <is>
          <t>No</t>
        </is>
      </c>
      <c r="S441">
        <f>IF(OR(E441="",D441=""),"",MAX(0,E441-D441))</f>
        <v/>
      </c>
      <c r="T441" t="inlineStr">
        <is>
          <t>No</t>
        </is>
      </c>
      <c r="U441" t="n">
        <v>64</v>
      </c>
      <c r="V441" t="inlineStr">
        <is>
          <t>Failed</t>
        </is>
      </c>
      <c r="W441" t="n">
        <v>2</v>
      </c>
      <c r="X441" t="inlineStr">
        <is>
          <t>Vehicle Breakdown</t>
        </is>
      </c>
    </row>
    <row r="442">
      <c r="A442" t="inlineStr">
        <is>
          <t>ORD-2026-00441</t>
        </is>
      </c>
      <c r="B442" t="inlineStr">
        <is>
          <t>CUST-0150</t>
        </is>
      </c>
      <c r="C442" s="3" t="n">
        <v>46205</v>
      </c>
      <c r="D442" s="3" t="n">
        <v>46211</v>
      </c>
      <c r="E442" s="3" t="n">
        <v>46211</v>
      </c>
      <c r="F442" t="inlineStr">
        <is>
          <t>Ahmedabad</t>
        </is>
      </c>
      <c r="G442" t="inlineStr">
        <is>
          <t>Bengaluru</t>
        </is>
      </c>
      <c r="H442" t="inlineStr">
        <is>
          <t>DHL</t>
        </is>
      </c>
      <c r="I442" t="inlineStr">
        <is>
          <t>Truck</t>
        </is>
      </c>
      <c r="J442" t="inlineStr">
        <is>
          <t>Critical</t>
        </is>
      </c>
      <c r="K442" t="inlineStr">
        <is>
          <t>Delivered</t>
        </is>
      </c>
      <c r="L442" t="n">
        <v>2389.4</v>
      </c>
      <c r="M442" t="n">
        <v>1945</v>
      </c>
      <c r="N442" t="n">
        <v>23.3</v>
      </c>
      <c r="O442" t="n">
        <v>5853.48</v>
      </c>
      <c r="P442" t="n">
        <v>1383.35</v>
      </c>
      <c r="Q442">
        <f>ROUND(L442*M442*N442/1000+O442+P442,2)</f>
        <v/>
      </c>
      <c r="R442" t="inlineStr">
        <is>
          <t>Yes</t>
        </is>
      </c>
      <c r="S442">
        <f>IF(OR(E442="",D442=""),"",MAX(0,E442-D442))</f>
        <v/>
      </c>
      <c r="T442" t="inlineStr">
        <is>
          <t>Yes</t>
        </is>
      </c>
      <c r="U442" t="n">
        <v>51</v>
      </c>
      <c r="V442" t="inlineStr">
        <is>
          <t>Pending</t>
        </is>
      </c>
      <c r="W442" t="n">
        <v>3</v>
      </c>
      <c r="X442" t="inlineStr">
        <is>
          <t>Weather</t>
        </is>
      </c>
    </row>
    <row r="443">
      <c r="A443" t="inlineStr">
        <is>
          <t>ORD-2026-00442</t>
        </is>
      </c>
      <c r="B443" t="inlineStr">
        <is>
          <t>CUST-0059</t>
        </is>
      </c>
      <c r="C443" s="3" t="n">
        <v>46119</v>
      </c>
      <c r="D443" s="3" t="n">
        <v>46122</v>
      </c>
      <c r="E443" s="3" t="n">
        <v>46127</v>
      </c>
      <c r="F443" t="inlineStr">
        <is>
          <t>Kolkata</t>
        </is>
      </c>
      <c r="G443" t="inlineStr">
        <is>
          <t>Ahmedabad</t>
        </is>
      </c>
      <c r="H443" t="inlineStr">
        <is>
          <t>Delhivery</t>
        </is>
      </c>
      <c r="I443" t="inlineStr">
        <is>
          <t>Bike</t>
        </is>
      </c>
      <c r="J443" t="inlineStr">
        <is>
          <t>High</t>
        </is>
      </c>
      <c r="K443" t="inlineStr">
        <is>
          <t>Delivered</t>
        </is>
      </c>
      <c r="L443" t="n">
        <v>1376.6</v>
      </c>
      <c r="M443" t="n">
        <v>555</v>
      </c>
      <c r="N443" t="n">
        <v>50.84</v>
      </c>
      <c r="O443" t="n">
        <v>1852.9</v>
      </c>
      <c r="P443" t="n">
        <v>787.85</v>
      </c>
      <c r="Q443">
        <f>ROUND(L443*M443*N443/1000+O443+P443,2)</f>
        <v/>
      </c>
      <c r="R443" t="inlineStr">
        <is>
          <t>No</t>
        </is>
      </c>
      <c r="S443">
        <f>IF(OR(E443="",D443=""),"",MAX(0,E443-D443))</f>
        <v/>
      </c>
      <c r="T443" t="inlineStr">
        <is>
          <t>No</t>
        </is>
      </c>
      <c r="U443" t="n">
        <v>58</v>
      </c>
      <c r="V443" t="inlineStr">
        <is>
          <t>Failed</t>
        </is>
      </c>
      <c r="W443" t="n">
        <v>4</v>
      </c>
      <c r="X443" t="inlineStr">
        <is>
          <t>Weather</t>
        </is>
      </c>
    </row>
    <row r="444">
      <c r="A444" t="inlineStr">
        <is>
          <t>ORD-2026-00443</t>
        </is>
      </c>
      <c r="B444" t="inlineStr">
        <is>
          <t>CUST-0076</t>
        </is>
      </c>
      <c r="C444" s="3" t="n">
        <v>46117</v>
      </c>
      <c r="D444" s="3" t="n">
        <v>46125</v>
      </c>
      <c r="E444" s="3" t="n">
        <v>46125</v>
      </c>
      <c r="F444" t="inlineStr">
        <is>
          <t>Surat</t>
        </is>
      </c>
      <c r="G444" t="inlineStr">
        <is>
          <t>Surat</t>
        </is>
      </c>
      <c r="H444" t="inlineStr">
        <is>
          <t>DTDC</t>
        </is>
      </c>
      <c r="I444" t="inlineStr">
        <is>
          <t>Van</t>
        </is>
      </c>
      <c r="J444" t="inlineStr">
        <is>
          <t>High</t>
        </is>
      </c>
      <c r="K444" t="inlineStr">
        <is>
          <t>Delivered</t>
        </is>
      </c>
      <c r="L444" t="n">
        <v>449.32</v>
      </c>
      <c r="M444" t="n">
        <v>962</v>
      </c>
      <c r="N444" t="n">
        <v>23.14</v>
      </c>
      <c r="O444" t="n">
        <v>345.61</v>
      </c>
      <c r="P444" t="n">
        <v>1354.18</v>
      </c>
      <c r="Q444">
        <f>ROUND(L444*M444*N444/1000+O444+P444,2)</f>
        <v/>
      </c>
      <c r="R444" t="inlineStr">
        <is>
          <t>Yes</t>
        </is>
      </c>
      <c r="S444">
        <f>IF(OR(E444="",D444=""),"",MAX(0,E444-D444))</f>
        <v/>
      </c>
      <c r="T444" t="inlineStr">
        <is>
          <t>Yes</t>
        </is>
      </c>
      <c r="U444" t="n">
        <v>13</v>
      </c>
      <c r="V444" t="inlineStr">
        <is>
          <t>Paid</t>
        </is>
      </c>
      <c r="W444" t="n">
        <v>1</v>
      </c>
      <c r="X444" t="inlineStr">
        <is>
          <t>Vehicle Breakdown</t>
        </is>
      </c>
    </row>
    <row r="445">
      <c r="A445" t="inlineStr">
        <is>
          <t>ORD-2026-00444</t>
        </is>
      </c>
      <c r="B445" t="inlineStr">
        <is>
          <t>CUST-0219</t>
        </is>
      </c>
      <c r="C445" s="3" t="n">
        <v>46032</v>
      </c>
      <c r="D445" s="3" t="n">
        <v>46036</v>
      </c>
      <c r="E445" s="3" t="n">
        <v>46036</v>
      </c>
      <c r="F445" t="inlineStr">
        <is>
          <t>Surat</t>
        </is>
      </c>
      <c r="G445" t="inlineStr">
        <is>
          <t>Pune</t>
        </is>
      </c>
      <c r="H445" t="inlineStr">
        <is>
          <t>BlueDart</t>
        </is>
      </c>
      <c r="I445" t="inlineStr">
        <is>
          <t>Refrigerated Truck</t>
        </is>
      </c>
      <c r="J445" t="inlineStr">
        <is>
          <t>High</t>
        </is>
      </c>
      <c r="K445" t="inlineStr">
        <is>
          <t>Delivered</t>
        </is>
      </c>
      <c r="L445" t="n">
        <v>625.4299999999999</v>
      </c>
      <c r="M445" t="n">
        <v>1129</v>
      </c>
      <c r="N445" t="n">
        <v>18.87</v>
      </c>
      <c r="O445" t="n">
        <v>882.63</v>
      </c>
      <c r="P445" t="n">
        <v>224.04</v>
      </c>
      <c r="Q445">
        <f>ROUND(L445*M445*N445/1000+O445+P445,2)</f>
        <v/>
      </c>
      <c r="R445" t="inlineStr">
        <is>
          <t>Yes</t>
        </is>
      </c>
      <c r="S445">
        <f>IF(OR(E445="",D445=""),"",MAX(0,E445-D445))</f>
        <v/>
      </c>
      <c r="T445" t="inlineStr">
        <is>
          <t>No</t>
        </is>
      </c>
      <c r="U445" t="n">
        <v>52</v>
      </c>
      <c r="V445" t="inlineStr">
        <is>
          <t>Failed</t>
        </is>
      </c>
      <c r="W445" t="n">
        <v>5</v>
      </c>
      <c r="X445" t="inlineStr">
        <is>
          <t>Customer Unavailable</t>
        </is>
      </c>
    </row>
    <row r="446">
      <c r="A446" t="inlineStr">
        <is>
          <t>ORD-2026-00445</t>
        </is>
      </c>
      <c r="B446" t="inlineStr">
        <is>
          <t>CUST-0054</t>
        </is>
      </c>
      <c r="C446" s="3" t="n">
        <v>46190</v>
      </c>
      <c r="D446" s="3" t="n">
        <v>46191</v>
      </c>
      <c r="E446" s="3" t="n">
        <v>46191</v>
      </c>
      <c r="F446" t="inlineStr">
        <is>
          <t>Jaipur</t>
        </is>
      </c>
      <c r="G446" t="inlineStr">
        <is>
          <t>Bengaluru</t>
        </is>
      </c>
      <c r="H446" t="inlineStr">
        <is>
          <t>DTDC</t>
        </is>
      </c>
      <c r="I446" t="inlineStr">
        <is>
          <t>Bike</t>
        </is>
      </c>
      <c r="J446" t="inlineStr">
        <is>
          <t>Critical</t>
        </is>
      </c>
      <c r="K446" t="inlineStr">
        <is>
          <t>Delivered</t>
        </is>
      </c>
      <c r="L446" t="n">
        <v>1903.02</v>
      </c>
      <c r="M446" t="n">
        <v>616</v>
      </c>
      <c r="N446" t="n">
        <v>57.33</v>
      </c>
      <c r="O446" t="n">
        <v>2933.84</v>
      </c>
      <c r="P446" t="n">
        <v>1090.54</v>
      </c>
      <c r="Q446">
        <f>ROUND(L446*M446*N446/1000+O446+P446,2)</f>
        <v/>
      </c>
      <c r="R446" t="inlineStr">
        <is>
          <t>Yes</t>
        </is>
      </c>
      <c r="S446">
        <f>IF(OR(E446="",D446=""),"",MAX(0,E446-D446))</f>
        <v/>
      </c>
      <c r="T446" t="inlineStr">
        <is>
          <t>No</t>
        </is>
      </c>
      <c r="U446" t="n">
        <v>44</v>
      </c>
      <c r="V446" t="inlineStr">
        <is>
          <t>Paid</t>
        </is>
      </c>
      <c r="W446" t="n">
        <v>3</v>
      </c>
      <c r="X446" t="inlineStr">
        <is>
          <t>Customer Unavailable</t>
        </is>
      </c>
    </row>
    <row r="447">
      <c r="A447" t="inlineStr">
        <is>
          <t>ORD-2026-00446</t>
        </is>
      </c>
      <c r="B447" t="inlineStr">
        <is>
          <t>CUST-0224</t>
        </is>
      </c>
      <c r="C447" s="3" t="n">
        <v>46071</v>
      </c>
      <c r="D447" s="3" t="n">
        <v>46078</v>
      </c>
      <c r="E447" s="3" t="n">
        <v>46080</v>
      </c>
      <c r="F447" t="inlineStr">
        <is>
          <t>Delhi</t>
        </is>
      </c>
      <c r="G447" t="inlineStr">
        <is>
          <t>Pune</t>
        </is>
      </c>
      <c r="H447" t="inlineStr">
        <is>
          <t>Maersk</t>
        </is>
      </c>
      <c r="I447" t="inlineStr">
        <is>
          <t>Van</t>
        </is>
      </c>
      <c r="J447" t="inlineStr">
        <is>
          <t>Critical</t>
        </is>
      </c>
      <c r="K447" t="inlineStr">
        <is>
          <t>Delivered</t>
        </is>
      </c>
      <c r="L447" t="n">
        <v>524.36</v>
      </c>
      <c r="M447" t="n">
        <v>1848</v>
      </c>
      <c r="N447" t="n">
        <v>56.62</v>
      </c>
      <c r="O447" t="n">
        <v>1745.07</v>
      </c>
      <c r="P447" t="n">
        <v>225.65</v>
      </c>
      <c r="Q447">
        <f>ROUND(L447*M447*N447/1000+O447+P447,2)</f>
        <v/>
      </c>
      <c r="R447" t="inlineStr">
        <is>
          <t>No</t>
        </is>
      </c>
      <c r="S447">
        <f>IF(OR(E447="",D447=""),"",MAX(0,E447-D447))</f>
        <v/>
      </c>
      <c r="T447" t="inlineStr">
        <is>
          <t>No</t>
        </is>
      </c>
      <c r="U447" t="n">
        <v>44</v>
      </c>
      <c r="V447" t="inlineStr">
        <is>
          <t>Pending</t>
        </is>
      </c>
      <c r="W447" t="n">
        <v>4</v>
      </c>
      <c r="X447" t="inlineStr">
        <is>
          <t>Weather</t>
        </is>
      </c>
    </row>
    <row r="448">
      <c r="A448" t="inlineStr">
        <is>
          <t>ORD-2026-00447</t>
        </is>
      </c>
      <c r="B448" t="inlineStr">
        <is>
          <t>CUST-0040</t>
        </is>
      </c>
      <c r="C448" s="3" t="n">
        <v>46198</v>
      </c>
      <c r="D448" s="3" t="n">
        <v>46205</v>
      </c>
      <c r="E448" s="3" t="n">
        <v>46207</v>
      </c>
      <c r="F448" t="inlineStr">
        <is>
          <t>Hyderabad</t>
        </is>
      </c>
      <c r="G448" t="inlineStr">
        <is>
          <t>Kolkata</t>
        </is>
      </c>
      <c r="H448" t="inlineStr">
        <is>
          <t>Maersk</t>
        </is>
      </c>
      <c r="I448" t="inlineStr">
        <is>
          <t>Bike</t>
        </is>
      </c>
      <c r="J448" t="inlineStr">
        <is>
          <t>Critical</t>
        </is>
      </c>
      <c r="K448" t="inlineStr">
        <is>
          <t>Delivered</t>
        </is>
      </c>
      <c r="L448" t="n">
        <v>749.4400000000001</v>
      </c>
      <c r="M448" t="n">
        <v>2409</v>
      </c>
      <c r="N448" t="n">
        <v>9.32</v>
      </c>
      <c r="O448" t="n">
        <v>1297.67</v>
      </c>
      <c r="P448" t="n">
        <v>1384.77</v>
      </c>
      <c r="Q448">
        <f>ROUND(L448*M448*N448/1000+O448+P448,2)</f>
        <v/>
      </c>
      <c r="R448" t="inlineStr">
        <is>
          <t>No</t>
        </is>
      </c>
      <c r="S448">
        <f>IF(OR(E448="",D448=""),"",MAX(0,E448-D448))</f>
        <v/>
      </c>
      <c r="T448" t="inlineStr">
        <is>
          <t>No</t>
        </is>
      </c>
      <c r="U448" t="n">
        <v>27</v>
      </c>
      <c r="V448" t="inlineStr">
        <is>
          <t>Failed</t>
        </is>
      </c>
      <c r="W448" t="n">
        <v>1</v>
      </c>
      <c r="X448" t="inlineStr">
        <is>
          <t>Customs</t>
        </is>
      </c>
    </row>
    <row r="449">
      <c r="A449" t="inlineStr">
        <is>
          <t>ORD-2026-00448</t>
        </is>
      </c>
      <c r="B449" t="inlineStr">
        <is>
          <t>CUST-0142</t>
        </is>
      </c>
      <c r="C449" s="3" t="n">
        <v>46121</v>
      </c>
      <c r="D449" s="3" t="n">
        <v>46125</v>
      </c>
      <c r="E449" s="3" t="n">
        <v>46125</v>
      </c>
      <c r="F449" t="inlineStr">
        <is>
          <t>Delhi</t>
        </is>
      </c>
      <c r="G449" t="inlineStr">
        <is>
          <t>Ahmedabad</t>
        </is>
      </c>
      <c r="H449" t="inlineStr">
        <is>
          <t>Aramex</t>
        </is>
      </c>
      <c r="I449" t="inlineStr">
        <is>
          <t>Bike</t>
        </is>
      </c>
      <c r="J449" t="inlineStr">
        <is>
          <t>Critical</t>
        </is>
      </c>
      <c r="K449" t="inlineStr">
        <is>
          <t>Delivered</t>
        </is>
      </c>
      <c r="L449" t="n">
        <v>2404.86</v>
      </c>
      <c r="M449" t="n">
        <v>2622</v>
      </c>
      <c r="N449" t="n">
        <v>59</v>
      </c>
      <c r="O449" t="n">
        <v>13242.11</v>
      </c>
      <c r="P449" t="n">
        <v>174.38</v>
      </c>
      <c r="Q449">
        <f>ROUND(L449*M449*N449/1000+O449+P449,2)</f>
        <v/>
      </c>
      <c r="R449" t="inlineStr">
        <is>
          <t>Yes</t>
        </is>
      </c>
      <c r="S449">
        <f>IF(OR(E449="",D449=""),"",MAX(0,E449-D449))</f>
        <v/>
      </c>
      <c r="T449" t="inlineStr">
        <is>
          <t>Yes</t>
        </is>
      </c>
      <c r="U449" t="n">
        <v>24</v>
      </c>
      <c r="V449" t="inlineStr">
        <is>
          <t>Pending</t>
        </is>
      </c>
      <c r="W449" t="n">
        <v>1</v>
      </c>
      <c r="X449" t="inlineStr">
        <is>
          <t>Weather</t>
        </is>
      </c>
    </row>
    <row r="450">
      <c r="A450" t="inlineStr">
        <is>
          <t>ORD-2026-00449</t>
        </is>
      </c>
      <c r="B450" t="inlineStr">
        <is>
          <t>CUST-0233</t>
        </is>
      </c>
      <c r="C450" s="3" t="n">
        <v>46095</v>
      </c>
      <c r="D450" s="3" t="n">
        <v>46099</v>
      </c>
      <c r="E450" s="3" t="n">
        <v>46099</v>
      </c>
      <c r="F450" t="inlineStr">
        <is>
          <t>Chennai</t>
        </is>
      </c>
      <c r="G450" t="inlineStr">
        <is>
          <t>Chennai</t>
        </is>
      </c>
      <c r="H450" t="inlineStr">
        <is>
          <t>DHL</t>
        </is>
      </c>
      <c r="I450" t="inlineStr">
        <is>
          <t>Van</t>
        </is>
      </c>
      <c r="J450" t="inlineStr">
        <is>
          <t>Normal</t>
        </is>
      </c>
      <c r="K450" t="inlineStr">
        <is>
          <t>Delivered</t>
        </is>
      </c>
      <c r="L450" t="n">
        <v>175.41</v>
      </c>
      <c r="M450" t="n">
        <v>240</v>
      </c>
      <c r="N450" t="n">
        <v>29.01</v>
      </c>
      <c r="O450" t="n">
        <v>37.45</v>
      </c>
      <c r="P450" t="n">
        <v>503.62</v>
      </c>
      <c r="Q450">
        <f>ROUND(L450*M450*N450/1000+O450+P450,2)</f>
        <v/>
      </c>
      <c r="R450" t="inlineStr">
        <is>
          <t>Yes</t>
        </is>
      </c>
      <c r="S450">
        <f>IF(OR(E450="",D450=""),"",MAX(0,E450-D450))</f>
        <v/>
      </c>
      <c r="T450" t="inlineStr">
        <is>
          <t>No</t>
        </is>
      </c>
      <c r="U450" t="n">
        <v>62</v>
      </c>
      <c r="V450" t="inlineStr">
        <is>
          <t>Paid</t>
        </is>
      </c>
      <c r="W450" t="n">
        <v>4</v>
      </c>
      <c r="X450" t="inlineStr">
        <is>
          <t>Customer Unavailable</t>
        </is>
      </c>
    </row>
    <row r="451">
      <c r="A451" t="inlineStr">
        <is>
          <t>ORD-2026-00450</t>
        </is>
      </c>
      <c r="B451" t="inlineStr">
        <is>
          <t>CUST-0151</t>
        </is>
      </c>
      <c r="C451" s="3" t="n">
        <v>46075</v>
      </c>
      <c r="D451" s="3" t="n">
        <v>46078</v>
      </c>
      <c r="E451" s="3" t="n">
        <v>46081</v>
      </c>
      <c r="F451" t="inlineStr">
        <is>
          <t>Bengaluru</t>
        </is>
      </c>
      <c r="G451" t="inlineStr">
        <is>
          <t>Surat</t>
        </is>
      </c>
      <c r="H451" t="inlineStr">
        <is>
          <t>Maersk</t>
        </is>
      </c>
      <c r="I451" t="inlineStr">
        <is>
          <t>Container</t>
        </is>
      </c>
      <c r="J451" t="inlineStr">
        <is>
          <t>High</t>
        </is>
      </c>
      <c r="K451" t="inlineStr">
        <is>
          <t>Delivered</t>
        </is>
      </c>
      <c r="L451" t="n">
        <v>2044.83</v>
      </c>
      <c r="M451" t="n">
        <v>2727</v>
      </c>
      <c r="N451" t="n">
        <v>35.06</v>
      </c>
      <c r="O451" t="n">
        <v>12946.74</v>
      </c>
      <c r="P451" t="n">
        <v>1409.95</v>
      </c>
      <c r="Q451">
        <f>ROUND(L451*M451*N451/1000+O451+P451,2)</f>
        <v/>
      </c>
      <c r="R451" t="inlineStr">
        <is>
          <t>No</t>
        </is>
      </c>
      <c r="S451">
        <f>IF(OR(E451="",D451=""),"",MAX(0,E451-D451))</f>
        <v/>
      </c>
      <c r="T451" t="inlineStr">
        <is>
          <t>Yes</t>
        </is>
      </c>
      <c r="U451" t="n">
        <v>1</v>
      </c>
      <c r="V451" t="inlineStr">
        <is>
          <t>Pending</t>
        </is>
      </c>
      <c r="W451" t="n">
        <v>4</v>
      </c>
      <c r="X451" t="inlineStr">
        <is>
          <t>None</t>
        </is>
      </c>
    </row>
    <row r="452">
      <c r="A452" t="inlineStr">
        <is>
          <t>ORD-2026-00451</t>
        </is>
      </c>
      <c r="B452" t="inlineStr">
        <is>
          <t>CUST-0189</t>
        </is>
      </c>
      <c r="C452" s="3" t="n">
        <v>46234</v>
      </c>
      <c r="D452" s="3" t="n">
        <v>46241</v>
      </c>
      <c r="E452" s="3" t="n">
        <v>46242</v>
      </c>
      <c r="F452" t="inlineStr">
        <is>
          <t>Mumbai</t>
        </is>
      </c>
      <c r="G452" t="inlineStr">
        <is>
          <t>Pune</t>
        </is>
      </c>
      <c r="H452" t="inlineStr">
        <is>
          <t>Maersk</t>
        </is>
      </c>
      <c r="I452" t="inlineStr">
        <is>
          <t>Container</t>
        </is>
      </c>
      <c r="J452" t="inlineStr">
        <is>
          <t>High</t>
        </is>
      </c>
      <c r="K452" t="inlineStr">
        <is>
          <t>Delivered</t>
        </is>
      </c>
      <c r="L452" t="n">
        <v>822.5599999999999</v>
      </c>
      <c r="M452" t="n">
        <v>2336</v>
      </c>
      <c r="N452" t="n">
        <v>58.12</v>
      </c>
      <c r="O452" t="n">
        <v>6434</v>
      </c>
      <c r="P452" t="n">
        <v>872.6799999999999</v>
      </c>
      <c r="Q452">
        <f>ROUND(L452*M452*N452/1000+O452+P452,2)</f>
        <v/>
      </c>
      <c r="R452" t="inlineStr">
        <is>
          <t>No</t>
        </is>
      </c>
      <c r="S452">
        <f>IF(OR(E452="",D452=""),"",MAX(0,E452-D452))</f>
        <v/>
      </c>
      <c r="T452" t="inlineStr">
        <is>
          <t>No</t>
        </is>
      </c>
      <c r="U452" t="n">
        <v>51</v>
      </c>
      <c r="V452" t="inlineStr">
        <is>
          <t>Pending</t>
        </is>
      </c>
      <c r="W452" t="n">
        <v>4</v>
      </c>
      <c r="X452" t="inlineStr">
        <is>
          <t>Address Error</t>
        </is>
      </c>
    </row>
    <row r="453">
      <c r="A453" t="inlineStr">
        <is>
          <t>ORD-2026-00452</t>
        </is>
      </c>
      <c r="B453" t="inlineStr">
        <is>
          <t>CUST-0227</t>
        </is>
      </c>
      <c r="C453" s="3" t="n">
        <v>46068</v>
      </c>
      <c r="D453" s="3" t="n">
        <v>46075</v>
      </c>
      <c r="E453" s="3" t="n">
        <v>46075</v>
      </c>
      <c r="F453" t="inlineStr">
        <is>
          <t>Delhi</t>
        </is>
      </c>
      <c r="G453" t="inlineStr">
        <is>
          <t>Pune</t>
        </is>
      </c>
      <c r="H453" t="inlineStr">
        <is>
          <t>Maersk</t>
        </is>
      </c>
      <c r="I453" t="inlineStr">
        <is>
          <t>Bike</t>
        </is>
      </c>
      <c r="J453" t="inlineStr">
        <is>
          <t>High</t>
        </is>
      </c>
      <c r="K453" t="inlineStr">
        <is>
          <t>Delivered</t>
        </is>
      </c>
      <c r="L453" t="n">
        <v>459.02</v>
      </c>
      <c r="M453" t="n">
        <v>2334</v>
      </c>
      <c r="N453" t="n">
        <v>13.45</v>
      </c>
      <c r="O453" t="n">
        <v>1036.33</v>
      </c>
      <c r="P453" t="n">
        <v>84.62</v>
      </c>
      <c r="Q453">
        <f>ROUND(L453*M453*N453/1000+O453+P453,2)</f>
        <v/>
      </c>
      <c r="R453" t="inlineStr">
        <is>
          <t>Yes</t>
        </is>
      </c>
      <c r="S453">
        <f>IF(OR(E453="",D453=""),"",MAX(0,E453-D453))</f>
        <v/>
      </c>
      <c r="T453" t="inlineStr">
        <is>
          <t>Yes</t>
        </is>
      </c>
      <c r="U453" t="n">
        <v>28</v>
      </c>
      <c r="V453" t="inlineStr">
        <is>
          <t>Failed</t>
        </is>
      </c>
      <c r="W453" t="n">
        <v>4</v>
      </c>
      <c r="X453" t="inlineStr">
        <is>
          <t>Customer Unavailable</t>
        </is>
      </c>
    </row>
    <row r="454">
      <c r="A454" t="inlineStr">
        <is>
          <t>ORD-2026-00453</t>
        </is>
      </c>
      <c r="B454" t="inlineStr">
        <is>
          <t>CUST-0012</t>
        </is>
      </c>
      <c r="C454" s="3" t="n">
        <v>46164</v>
      </c>
      <c r="D454" s="3" t="n">
        <v>46166</v>
      </c>
      <c r="E454" s="3" t="n"/>
      <c r="F454" t="inlineStr">
        <is>
          <t>Jaipur</t>
        </is>
      </c>
      <c r="G454" t="inlineStr">
        <is>
          <t>Ahmedabad</t>
        </is>
      </c>
      <c r="H454" t="inlineStr">
        <is>
          <t>BlueDart</t>
        </is>
      </c>
      <c r="I454" t="inlineStr">
        <is>
          <t>Container</t>
        </is>
      </c>
      <c r="J454" t="inlineStr">
        <is>
          <t>Critical</t>
        </is>
      </c>
      <c r="K454" t="inlineStr">
        <is>
          <t>In Transit</t>
        </is>
      </c>
      <c r="L454" t="n">
        <v>1261.23</v>
      </c>
      <c r="M454" t="n">
        <v>1340</v>
      </c>
      <c r="N454" t="n">
        <v>31.38</v>
      </c>
      <c r="O454" t="n">
        <v>2115.53</v>
      </c>
      <c r="P454" t="n">
        <v>326.91</v>
      </c>
      <c r="Q454">
        <f>ROUND(L454*M454*N454/1000+O454+P454,2)</f>
        <v/>
      </c>
      <c r="R454" t="inlineStr">
        <is>
          <t>No</t>
        </is>
      </c>
      <c r="S454">
        <f>IF(OR(E454="",D454=""),"",MAX(0,E454-D454))</f>
        <v/>
      </c>
      <c r="T454" t="inlineStr">
        <is>
          <t>No</t>
        </is>
      </c>
      <c r="U454" t="n">
        <v>52</v>
      </c>
      <c r="V454" t="inlineStr">
        <is>
          <t>Pending</t>
        </is>
      </c>
      <c r="W454" t="n">
        <v>4</v>
      </c>
      <c r="X454" t="inlineStr">
        <is>
          <t>None</t>
        </is>
      </c>
    </row>
    <row r="455">
      <c r="A455" t="inlineStr">
        <is>
          <t>ORD-2026-00454</t>
        </is>
      </c>
      <c r="B455" t="inlineStr">
        <is>
          <t>CUST-0063</t>
        </is>
      </c>
      <c r="C455" s="3" t="n">
        <v>46025</v>
      </c>
      <c r="D455" s="3" t="n">
        <v>46030</v>
      </c>
      <c r="E455" s="3" t="n">
        <v>46030</v>
      </c>
      <c r="F455" t="inlineStr">
        <is>
          <t>Jaipur</t>
        </is>
      </c>
      <c r="G455" t="inlineStr">
        <is>
          <t>Delhi</t>
        </is>
      </c>
      <c r="H455" t="inlineStr">
        <is>
          <t>Delhivery</t>
        </is>
      </c>
      <c r="I455" t="inlineStr">
        <is>
          <t>Refrigerated Truck</t>
        </is>
      </c>
      <c r="J455" t="inlineStr">
        <is>
          <t>Normal</t>
        </is>
      </c>
      <c r="K455" t="inlineStr">
        <is>
          <t>Delivered</t>
        </is>
      </c>
      <c r="L455" t="n">
        <v>818.11</v>
      </c>
      <c r="M455" t="n">
        <v>1906</v>
      </c>
      <c r="N455" t="n">
        <v>35.63</v>
      </c>
      <c r="O455" t="n">
        <v>1894.22</v>
      </c>
      <c r="P455" t="n">
        <v>831.67</v>
      </c>
      <c r="Q455">
        <f>ROUND(L455*M455*N455/1000+O455+P455,2)</f>
        <v/>
      </c>
      <c r="R455" t="inlineStr">
        <is>
          <t>Yes</t>
        </is>
      </c>
      <c r="S455">
        <f>IF(OR(E455="",D455=""),"",MAX(0,E455-D455))</f>
        <v/>
      </c>
      <c r="T455" t="inlineStr">
        <is>
          <t>Yes</t>
        </is>
      </c>
      <c r="U455" t="n">
        <v>3</v>
      </c>
      <c r="V455" t="inlineStr">
        <is>
          <t>Paid</t>
        </is>
      </c>
      <c r="W455" t="n">
        <v>2</v>
      </c>
      <c r="X455" t="inlineStr">
        <is>
          <t>Vehicle Breakdown</t>
        </is>
      </c>
    </row>
    <row r="456">
      <c r="A456" t="inlineStr">
        <is>
          <t>ORD-2026-00455</t>
        </is>
      </c>
      <c r="B456" t="inlineStr">
        <is>
          <t>CUST-0009</t>
        </is>
      </c>
      <c r="C456" s="3" t="n">
        <v>46054</v>
      </c>
      <c r="D456" s="3" t="n">
        <v>46061</v>
      </c>
      <c r="E456" s="3" t="n">
        <v>46061</v>
      </c>
      <c r="F456" t="inlineStr">
        <is>
          <t>Surat</t>
        </is>
      </c>
      <c r="G456" t="inlineStr">
        <is>
          <t>Bengaluru</t>
        </is>
      </c>
      <c r="H456" t="inlineStr">
        <is>
          <t>Delhivery</t>
        </is>
      </c>
      <c r="I456" t="inlineStr">
        <is>
          <t>Van</t>
        </is>
      </c>
      <c r="J456" t="inlineStr">
        <is>
          <t>Low</t>
        </is>
      </c>
      <c r="K456" t="inlineStr">
        <is>
          <t>Delivered</t>
        </is>
      </c>
      <c r="L456" t="n">
        <v>28.52</v>
      </c>
      <c r="M456" t="n">
        <v>1124</v>
      </c>
      <c r="N456" t="n">
        <v>16.75</v>
      </c>
      <c r="O456" t="n">
        <v>27.64</v>
      </c>
      <c r="P456" t="n">
        <v>340.68</v>
      </c>
      <c r="Q456">
        <f>ROUND(L456*M456*N456/1000+O456+P456,2)</f>
        <v/>
      </c>
      <c r="R456" t="inlineStr">
        <is>
          <t>Yes</t>
        </is>
      </c>
      <c r="S456">
        <f>IF(OR(E456="",D456=""),"",MAX(0,E456-D456))</f>
        <v/>
      </c>
      <c r="T456" t="inlineStr">
        <is>
          <t>No</t>
        </is>
      </c>
      <c r="U456" t="n">
        <v>40</v>
      </c>
      <c r="V456" t="inlineStr">
        <is>
          <t>Failed</t>
        </is>
      </c>
      <c r="W456" t="n">
        <v>1</v>
      </c>
      <c r="X456" t="inlineStr">
        <is>
          <t>Customs</t>
        </is>
      </c>
    </row>
    <row r="457">
      <c r="A457" t="inlineStr">
        <is>
          <t>ORD-2026-00456</t>
        </is>
      </c>
      <c r="B457" t="inlineStr">
        <is>
          <t>CUST-0008</t>
        </is>
      </c>
      <c r="C457" s="3" t="n">
        <v>46024</v>
      </c>
      <c r="D457" s="3" t="n">
        <v>46025</v>
      </c>
      <c r="E457" s="3" t="n">
        <v>46027</v>
      </c>
      <c r="F457" t="inlineStr">
        <is>
          <t>Ahmedabad</t>
        </is>
      </c>
      <c r="G457" t="inlineStr">
        <is>
          <t>Hyderabad</t>
        </is>
      </c>
      <c r="H457" t="inlineStr">
        <is>
          <t>Aramex</t>
        </is>
      </c>
      <c r="I457" t="inlineStr">
        <is>
          <t>Truck</t>
        </is>
      </c>
      <c r="J457" t="inlineStr">
        <is>
          <t>Low</t>
        </is>
      </c>
      <c r="K457" t="inlineStr">
        <is>
          <t>Delivered</t>
        </is>
      </c>
      <c r="L457" t="n">
        <v>2322.09</v>
      </c>
      <c r="M457" t="n">
        <v>1539</v>
      </c>
      <c r="N457" t="n">
        <v>59.8</v>
      </c>
      <c r="O457" t="n">
        <v>8975.51</v>
      </c>
      <c r="P457" t="n">
        <v>43.74</v>
      </c>
      <c r="Q457">
        <f>ROUND(L457*M457*N457/1000+O457+P457,2)</f>
        <v/>
      </c>
      <c r="R457" t="inlineStr">
        <is>
          <t>No</t>
        </is>
      </c>
      <c r="S457">
        <f>IF(OR(E457="",D457=""),"",MAX(0,E457-D457))</f>
        <v/>
      </c>
      <c r="T457" t="inlineStr">
        <is>
          <t>Yes</t>
        </is>
      </c>
      <c r="U457" t="n">
        <v>13</v>
      </c>
      <c r="V457" t="inlineStr">
        <is>
          <t>Pending</t>
        </is>
      </c>
      <c r="W457" t="n">
        <v>2</v>
      </c>
      <c r="X457" t="inlineStr">
        <is>
          <t>None</t>
        </is>
      </c>
    </row>
    <row r="458">
      <c r="A458" t="inlineStr">
        <is>
          <t>ORD-2026-00457</t>
        </is>
      </c>
      <c r="B458" t="inlineStr">
        <is>
          <t>CUST-0031</t>
        </is>
      </c>
      <c r="C458" s="3" t="n">
        <v>46129</v>
      </c>
      <c r="D458" s="3" t="n">
        <v>46131</v>
      </c>
      <c r="E458" s="3" t="n">
        <v>46133</v>
      </c>
      <c r="F458" t="inlineStr">
        <is>
          <t>Bengaluru</t>
        </is>
      </c>
      <c r="G458" t="inlineStr">
        <is>
          <t>Bengaluru</t>
        </is>
      </c>
      <c r="H458" t="inlineStr">
        <is>
          <t>BlueDart</t>
        </is>
      </c>
      <c r="I458" t="inlineStr">
        <is>
          <t>Refrigerated Truck</t>
        </is>
      </c>
      <c r="J458" t="inlineStr">
        <is>
          <t>High</t>
        </is>
      </c>
      <c r="K458" t="inlineStr">
        <is>
          <t>Delivered</t>
        </is>
      </c>
      <c r="L458" t="n">
        <v>1567.15</v>
      </c>
      <c r="M458" t="n">
        <v>2563</v>
      </c>
      <c r="N458" t="n">
        <v>19.81</v>
      </c>
      <c r="O458" t="n">
        <v>4973.23</v>
      </c>
      <c r="P458" t="n">
        <v>1409.61</v>
      </c>
      <c r="Q458">
        <f>ROUND(L458*M458*N458/1000+O458+P458,2)</f>
        <v/>
      </c>
      <c r="R458" t="inlineStr">
        <is>
          <t>No</t>
        </is>
      </c>
      <c r="S458">
        <f>IF(OR(E458="",D458=""),"",MAX(0,E458-D458))</f>
        <v/>
      </c>
      <c r="T458" t="inlineStr">
        <is>
          <t>Yes</t>
        </is>
      </c>
      <c r="U458" t="n">
        <v>2</v>
      </c>
      <c r="V458" t="inlineStr">
        <is>
          <t>Failed</t>
        </is>
      </c>
      <c r="W458" t="n">
        <v>3</v>
      </c>
      <c r="X458" t="inlineStr">
        <is>
          <t>None</t>
        </is>
      </c>
    </row>
    <row r="459">
      <c r="A459" t="inlineStr">
        <is>
          <t>ORD-2026-00458</t>
        </is>
      </c>
      <c r="B459" t="inlineStr">
        <is>
          <t>CUST-0154</t>
        </is>
      </c>
      <c r="C459" s="3" t="n">
        <v>46122</v>
      </c>
      <c r="D459" s="3" t="n">
        <v>46126</v>
      </c>
      <c r="E459" s="3" t="n">
        <v>46132</v>
      </c>
      <c r="F459" t="inlineStr">
        <is>
          <t>Jaipur</t>
        </is>
      </c>
      <c r="G459" t="inlineStr">
        <is>
          <t>Mumbai</t>
        </is>
      </c>
      <c r="H459" t="inlineStr">
        <is>
          <t>Maersk</t>
        </is>
      </c>
      <c r="I459" t="inlineStr">
        <is>
          <t>Bike</t>
        </is>
      </c>
      <c r="J459" t="inlineStr">
        <is>
          <t>Normal</t>
        </is>
      </c>
      <c r="K459" t="inlineStr">
        <is>
          <t>Delayed</t>
        </is>
      </c>
      <c r="L459" t="n">
        <v>1559.96</v>
      </c>
      <c r="M459" t="n">
        <v>184</v>
      </c>
      <c r="N459" t="n">
        <v>11.84</v>
      </c>
      <c r="O459" t="n">
        <v>146.52</v>
      </c>
      <c r="P459" t="n">
        <v>466.27</v>
      </c>
      <c r="Q459">
        <f>ROUND(L459*M459*N459/1000+O459+P459,2)</f>
        <v/>
      </c>
      <c r="R459" t="inlineStr">
        <is>
          <t>No</t>
        </is>
      </c>
      <c r="S459">
        <f>IF(OR(E459="",D459=""),"",MAX(0,E459-D459))</f>
        <v/>
      </c>
      <c r="T459" t="inlineStr">
        <is>
          <t>No</t>
        </is>
      </c>
      <c r="U459" t="n">
        <v>13</v>
      </c>
      <c r="V459" t="inlineStr">
        <is>
          <t>COD</t>
        </is>
      </c>
      <c r="W459" t="n">
        <v>4</v>
      </c>
      <c r="X459" t="inlineStr">
        <is>
          <t>Damaged Package</t>
        </is>
      </c>
    </row>
    <row r="460">
      <c r="A460" t="inlineStr">
        <is>
          <t>ORD-2026-00459</t>
        </is>
      </c>
      <c r="B460" t="inlineStr">
        <is>
          <t>CUST-0005</t>
        </is>
      </c>
      <c r="C460" s="3" t="n">
        <v>46220</v>
      </c>
      <c r="D460" s="3" t="n">
        <v>46223</v>
      </c>
      <c r="E460" s="3" t="n">
        <v>46223</v>
      </c>
      <c r="F460" t="inlineStr">
        <is>
          <t>Kolkata</t>
        </is>
      </c>
      <c r="G460" t="inlineStr">
        <is>
          <t>Kolkata</t>
        </is>
      </c>
      <c r="H460" t="inlineStr">
        <is>
          <t>Delhivery</t>
        </is>
      </c>
      <c r="I460" t="inlineStr">
        <is>
          <t>Container</t>
        </is>
      </c>
      <c r="J460" t="inlineStr">
        <is>
          <t>Normal</t>
        </is>
      </c>
      <c r="K460" t="inlineStr">
        <is>
          <t>Delivered</t>
        </is>
      </c>
      <c r="L460" t="n">
        <v>2209.98</v>
      </c>
      <c r="M460" t="n">
        <v>1307</v>
      </c>
      <c r="N460" t="n">
        <v>63.75</v>
      </c>
      <c r="O460" t="n">
        <v>12886.41</v>
      </c>
      <c r="P460" t="n">
        <v>119.92</v>
      </c>
      <c r="Q460">
        <f>ROUND(L460*M460*N460/1000+O460+P460,2)</f>
        <v/>
      </c>
      <c r="R460" t="inlineStr">
        <is>
          <t>Yes</t>
        </is>
      </c>
      <c r="S460">
        <f>IF(OR(E460="",D460=""),"",MAX(0,E460-D460))</f>
        <v/>
      </c>
      <c r="T460" t="inlineStr">
        <is>
          <t>Yes</t>
        </is>
      </c>
      <c r="U460" t="n">
        <v>30</v>
      </c>
      <c r="V460" t="inlineStr">
        <is>
          <t>Paid</t>
        </is>
      </c>
      <c r="W460" t="n">
        <v>5</v>
      </c>
      <c r="X460" t="inlineStr">
        <is>
          <t>Customer Unavailable</t>
        </is>
      </c>
    </row>
    <row r="461">
      <c r="A461" t="inlineStr">
        <is>
          <t>ORD-2026-00460</t>
        </is>
      </c>
      <c r="B461" t="inlineStr">
        <is>
          <t>CUST-0039</t>
        </is>
      </c>
      <c r="C461" s="3" t="n">
        <v>46054</v>
      </c>
      <c r="D461" s="3" t="n">
        <v>46059</v>
      </c>
      <c r="E461" s="3" t="n">
        <v>46059</v>
      </c>
      <c r="F461" t="inlineStr">
        <is>
          <t>Chennai</t>
        </is>
      </c>
      <c r="G461" t="inlineStr">
        <is>
          <t>Bengaluru</t>
        </is>
      </c>
      <c r="H461" t="inlineStr">
        <is>
          <t>Maersk</t>
        </is>
      </c>
      <c r="I461" t="inlineStr">
        <is>
          <t>Van</t>
        </is>
      </c>
      <c r="J461" t="inlineStr">
        <is>
          <t>Normal</t>
        </is>
      </c>
      <c r="K461" t="inlineStr">
        <is>
          <t>Delivered</t>
        </is>
      </c>
      <c r="L461" t="n">
        <v>609.24</v>
      </c>
      <c r="M461" t="n">
        <v>330</v>
      </c>
      <c r="N461" t="n">
        <v>11.42</v>
      </c>
      <c r="O461" t="n">
        <v>120.47</v>
      </c>
      <c r="P461" t="n">
        <v>458.99</v>
      </c>
      <c r="Q461">
        <f>ROUND(L461*M461*N461/1000+O461+P461,2)</f>
        <v/>
      </c>
      <c r="R461" t="inlineStr">
        <is>
          <t>Yes</t>
        </is>
      </c>
      <c r="S461">
        <f>IF(OR(E461="",D461=""),"",MAX(0,E461-D461))</f>
        <v/>
      </c>
      <c r="T461" t="inlineStr">
        <is>
          <t>No</t>
        </is>
      </c>
      <c r="U461" t="n">
        <v>43</v>
      </c>
      <c r="V461" t="inlineStr">
        <is>
          <t>Pending</t>
        </is>
      </c>
      <c r="W461" t="n">
        <v>3</v>
      </c>
      <c r="X461" t="inlineStr">
        <is>
          <t>Vehicle Breakdown</t>
        </is>
      </c>
    </row>
    <row r="462">
      <c r="A462" t="inlineStr">
        <is>
          <t>ORD-2026-00461</t>
        </is>
      </c>
      <c r="B462" t="inlineStr">
        <is>
          <t>CUST-0088</t>
        </is>
      </c>
      <c r="C462" s="3" t="n">
        <v>46187</v>
      </c>
      <c r="D462" s="3" t="n">
        <v>46188</v>
      </c>
      <c r="E462" s="3" t="n">
        <v>46188</v>
      </c>
      <c r="F462" t="inlineStr">
        <is>
          <t>Bengaluru</t>
        </is>
      </c>
      <c r="G462" t="inlineStr">
        <is>
          <t>Bengaluru</t>
        </is>
      </c>
      <c r="H462" t="inlineStr">
        <is>
          <t>DTDC</t>
        </is>
      </c>
      <c r="I462" t="inlineStr">
        <is>
          <t>Van</t>
        </is>
      </c>
      <c r="J462" t="inlineStr">
        <is>
          <t>Normal</t>
        </is>
      </c>
      <c r="K462" t="inlineStr">
        <is>
          <t>Delivered</t>
        </is>
      </c>
      <c r="L462" t="n">
        <v>1620.29</v>
      </c>
      <c r="M462" t="n">
        <v>1186</v>
      </c>
      <c r="N462" t="n">
        <v>50.78</v>
      </c>
      <c r="O462" t="n">
        <v>4268.3</v>
      </c>
      <c r="P462" t="n">
        <v>1104.65</v>
      </c>
      <c r="Q462">
        <f>ROUND(L462*M462*N462/1000+O462+P462,2)</f>
        <v/>
      </c>
      <c r="R462" t="inlineStr">
        <is>
          <t>Yes</t>
        </is>
      </c>
      <c r="S462">
        <f>IF(OR(E462="",D462=""),"",MAX(0,E462-D462))</f>
        <v/>
      </c>
      <c r="T462" t="inlineStr">
        <is>
          <t>Yes</t>
        </is>
      </c>
      <c r="U462" t="n">
        <v>78</v>
      </c>
      <c r="V462" t="inlineStr">
        <is>
          <t>Failed</t>
        </is>
      </c>
      <c r="W462" t="n">
        <v>5</v>
      </c>
      <c r="X462" t="inlineStr">
        <is>
          <t>Vehicle Breakdown</t>
        </is>
      </c>
    </row>
    <row r="463">
      <c r="A463" t="inlineStr">
        <is>
          <t>ORD-2026-00462</t>
        </is>
      </c>
      <c r="B463" t="inlineStr">
        <is>
          <t>CUST-0033</t>
        </is>
      </c>
      <c r="C463" s="3" t="n">
        <v>46069</v>
      </c>
      <c r="D463" s="3" t="n">
        <v>46077</v>
      </c>
      <c r="E463" s="3" t="n"/>
      <c r="F463" t="inlineStr">
        <is>
          <t>Mumbai</t>
        </is>
      </c>
      <c r="G463" t="inlineStr">
        <is>
          <t>Delhi</t>
        </is>
      </c>
      <c r="H463" t="inlineStr">
        <is>
          <t>DTDC</t>
        </is>
      </c>
      <c r="I463" t="inlineStr">
        <is>
          <t>Bike</t>
        </is>
      </c>
      <c r="J463" t="inlineStr">
        <is>
          <t>Normal</t>
        </is>
      </c>
      <c r="K463" t="inlineStr">
        <is>
          <t>Exception</t>
        </is>
      </c>
      <c r="L463" t="n">
        <v>175.43</v>
      </c>
      <c r="M463" t="n">
        <v>793</v>
      </c>
      <c r="N463" t="n">
        <v>10.97</v>
      </c>
      <c r="O463" t="n">
        <v>136.62</v>
      </c>
      <c r="P463" t="n">
        <v>1408.65</v>
      </c>
      <c r="Q463">
        <f>ROUND(L463*M463*N463/1000+O463+P463,2)</f>
        <v/>
      </c>
      <c r="R463" t="inlineStr">
        <is>
          <t>No</t>
        </is>
      </c>
      <c r="S463">
        <f>IF(OR(E463="",D463=""),"",MAX(0,E463-D463))</f>
        <v/>
      </c>
      <c r="T463" t="inlineStr">
        <is>
          <t>Yes</t>
        </is>
      </c>
      <c r="U463" t="n">
        <v>65</v>
      </c>
      <c r="V463" t="inlineStr">
        <is>
          <t>Paid</t>
        </is>
      </c>
      <c r="W463" t="n">
        <v>4</v>
      </c>
      <c r="X463" t="inlineStr">
        <is>
          <t>Damaged Package</t>
        </is>
      </c>
    </row>
    <row r="464">
      <c r="A464" t="inlineStr">
        <is>
          <t>ORD-2026-00463</t>
        </is>
      </c>
      <c r="B464" t="inlineStr">
        <is>
          <t>CUST-0163</t>
        </is>
      </c>
      <c r="C464" s="3" t="n">
        <v>46142</v>
      </c>
      <c r="D464" s="3" t="n">
        <v>46147</v>
      </c>
      <c r="E464" s="3" t="n">
        <v>46147</v>
      </c>
      <c r="F464" t="inlineStr">
        <is>
          <t>Bengaluru</t>
        </is>
      </c>
      <c r="G464" t="inlineStr">
        <is>
          <t>Pune</t>
        </is>
      </c>
      <c r="H464" t="inlineStr">
        <is>
          <t>Aramex</t>
        </is>
      </c>
      <c r="I464" t="inlineStr">
        <is>
          <t>Container</t>
        </is>
      </c>
      <c r="J464" t="inlineStr">
        <is>
          <t>Low</t>
        </is>
      </c>
      <c r="K464" t="inlineStr">
        <is>
          <t>Delivered</t>
        </is>
      </c>
      <c r="L464" t="n">
        <v>1060.33</v>
      </c>
      <c r="M464" t="n">
        <v>2486</v>
      </c>
      <c r="N464" t="n">
        <v>22.19</v>
      </c>
      <c r="O464" t="n">
        <v>2756.23</v>
      </c>
      <c r="P464" t="n">
        <v>683.4400000000001</v>
      </c>
      <c r="Q464">
        <f>ROUND(L464*M464*N464/1000+O464+P464,2)</f>
        <v/>
      </c>
      <c r="R464" t="inlineStr">
        <is>
          <t>Yes</t>
        </is>
      </c>
      <c r="S464">
        <f>IF(OR(E464="",D464=""),"",MAX(0,E464-D464))</f>
        <v/>
      </c>
      <c r="T464" t="inlineStr">
        <is>
          <t>No</t>
        </is>
      </c>
      <c r="U464" t="n">
        <v>51</v>
      </c>
      <c r="V464" t="inlineStr">
        <is>
          <t>Failed</t>
        </is>
      </c>
      <c r="W464" t="n">
        <v>2</v>
      </c>
      <c r="X464" t="inlineStr">
        <is>
          <t>Weather</t>
        </is>
      </c>
    </row>
    <row r="465">
      <c r="A465" t="inlineStr">
        <is>
          <t>ORD-2026-00464</t>
        </is>
      </c>
      <c r="B465" t="inlineStr">
        <is>
          <t>CUST-0195</t>
        </is>
      </c>
      <c r="C465" s="3" t="n">
        <v>46135</v>
      </c>
      <c r="D465" s="3" t="n">
        <v>46142</v>
      </c>
      <c r="E465" s="3" t="n">
        <v>46142</v>
      </c>
      <c r="F465" t="inlineStr">
        <is>
          <t>Pune</t>
        </is>
      </c>
      <c r="G465" t="inlineStr">
        <is>
          <t>Kolkata</t>
        </is>
      </c>
      <c r="H465" t="inlineStr">
        <is>
          <t>DTDC</t>
        </is>
      </c>
      <c r="I465" t="inlineStr">
        <is>
          <t>Truck</t>
        </is>
      </c>
      <c r="J465" t="inlineStr">
        <is>
          <t>Normal</t>
        </is>
      </c>
      <c r="K465" t="inlineStr">
        <is>
          <t>Delivered</t>
        </is>
      </c>
      <c r="L465" t="n">
        <v>1900.93</v>
      </c>
      <c r="M465" t="n">
        <v>1979</v>
      </c>
      <c r="N465" t="n">
        <v>9.130000000000001</v>
      </c>
      <c r="O465" t="n">
        <v>1816.42</v>
      </c>
      <c r="P465" t="n">
        <v>1283.98</v>
      </c>
      <c r="Q465">
        <f>ROUND(L465*M465*N465/1000+O465+P465,2)</f>
        <v/>
      </c>
      <c r="R465" t="inlineStr">
        <is>
          <t>Yes</t>
        </is>
      </c>
      <c r="S465">
        <f>IF(OR(E465="",D465=""),"",MAX(0,E465-D465))</f>
        <v/>
      </c>
      <c r="T465" t="inlineStr">
        <is>
          <t>No</t>
        </is>
      </c>
      <c r="U465" t="n">
        <v>49</v>
      </c>
      <c r="V465" t="inlineStr">
        <is>
          <t>Failed</t>
        </is>
      </c>
      <c r="W465" t="n">
        <v>3</v>
      </c>
      <c r="X465" t="inlineStr">
        <is>
          <t>Weather</t>
        </is>
      </c>
    </row>
    <row r="466">
      <c r="A466" t="inlineStr">
        <is>
          <t>ORD-2026-00465</t>
        </is>
      </c>
      <c r="B466" t="inlineStr">
        <is>
          <t>CUST-0221</t>
        </is>
      </c>
      <c r="C466" s="3" t="n">
        <v>46095</v>
      </c>
      <c r="D466" s="3" t="n">
        <v>46102</v>
      </c>
      <c r="E466" s="3" t="n">
        <v>46103</v>
      </c>
      <c r="F466" t="inlineStr">
        <is>
          <t>Surat</t>
        </is>
      </c>
      <c r="G466" t="inlineStr">
        <is>
          <t>Hyderabad</t>
        </is>
      </c>
      <c r="H466" t="inlineStr">
        <is>
          <t>Delhivery</t>
        </is>
      </c>
      <c r="I466" t="inlineStr">
        <is>
          <t>Container</t>
        </is>
      </c>
      <c r="J466" t="inlineStr">
        <is>
          <t>Critical</t>
        </is>
      </c>
      <c r="K466" t="inlineStr">
        <is>
          <t>Delivered</t>
        </is>
      </c>
      <c r="L466" t="n">
        <v>833.42</v>
      </c>
      <c r="M466" t="n">
        <v>1927</v>
      </c>
      <c r="N466" t="n">
        <v>19.16</v>
      </c>
      <c r="O466" t="n">
        <v>2614.54</v>
      </c>
      <c r="P466" t="n">
        <v>26.19</v>
      </c>
      <c r="Q466">
        <f>ROUND(L466*M466*N466/1000+O466+P466,2)</f>
        <v/>
      </c>
      <c r="R466" t="inlineStr">
        <is>
          <t>No</t>
        </is>
      </c>
      <c r="S466">
        <f>IF(OR(E466="",D466=""),"",MAX(0,E466-D466))</f>
        <v/>
      </c>
      <c r="T466" t="inlineStr">
        <is>
          <t>No</t>
        </is>
      </c>
      <c r="U466" t="n">
        <v>48</v>
      </c>
      <c r="V466" t="inlineStr">
        <is>
          <t>Failed</t>
        </is>
      </c>
      <c r="W466" t="n">
        <v>4</v>
      </c>
      <c r="X466" t="inlineStr">
        <is>
          <t>Vehicle Breakdown</t>
        </is>
      </c>
    </row>
    <row r="467">
      <c r="A467" t="inlineStr">
        <is>
          <t>ORD-2026-00466</t>
        </is>
      </c>
      <c r="B467" t="inlineStr">
        <is>
          <t>CUST-0198</t>
        </is>
      </c>
      <c r="C467" s="3" t="n">
        <v>46187</v>
      </c>
      <c r="D467" s="3" t="n">
        <v>46189</v>
      </c>
      <c r="E467" s="3" t="n"/>
      <c r="F467" t="inlineStr">
        <is>
          <t>Hyderabad</t>
        </is>
      </c>
      <c r="G467" t="inlineStr">
        <is>
          <t>Surat</t>
        </is>
      </c>
      <c r="H467" t="inlineStr">
        <is>
          <t>Maersk</t>
        </is>
      </c>
      <c r="I467" t="inlineStr">
        <is>
          <t>Container</t>
        </is>
      </c>
      <c r="J467" t="inlineStr">
        <is>
          <t>High</t>
        </is>
      </c>
      <c r="K467" t="inlineStr">
        <is>
          <t>In Transit</t>
        </is>
      </c>
      <c r="L467" t="n">
        <v>962.37</v>
      </c>
      <c r="M467" t="n">
        <v>2321</v>
      </c>
      <c r="N467" t="n">
        <v>17.25</v>
      </c>
      <c r="O467" t="n">
        <v>2919.74</v>
      </c>
      <c r="P467" t="n">
        <v>1436.5</v>
      </c>
      <c r="Q467">
        <f>ROUND(L467*M467*N467/1000+O467+P467,2)</f>
        <v/>
      </c>
      <c r="R467" t="inlineStr">
        <is>
          <t>No</t>
        </is>
      </c>
      <c r="S467">
        <f>IF(OR(E467="",D467=""),"",MAX(0,E467-D467))</f>
        <v/>
      </c>
      <c r="T467" t="inlineStr">
        <is>
          <t>Yes</t>
        </is>
      </c>
      <c r="U467" t="n">
        <v>50</v>
      </c>
      <c r="V467" t="inlineStr">
        <is>
          <t>Failed</t>
        </is>
      </c>
      <c r="W467" t="n">
        <v>2</v>
      </c>
      <c r="X467" t="inlineStr">
        <is>
          <t>Address Error</t>
        </is>
      </c>
    </row>
    <row r="468">
      <c r="A468" t="inlineStr">
        <is>
          <t>ORD-2026-00467</t>
        </is>
      </c>
      <c r="B468" t="inlineStr">
        <is>
          <t>CUST-0117</t>
        </is>
      </c>
      <c r="C468" s="3" t="n">
        <v>46145</v>
      </c>
      <c r="D468" s="3" t="n">
        <v>46146</v>
      </c>
      <c r="E468" s="3" t="n">
        <v>46151</v>
      </c>
      <c r="F468" t="inlineStr">
        <is>
          <t>Delhi</t>
        </is>
      </c>
      <c r="G468" t="inlineStr">
        <is>
          <t>Pune</t>
        </is>
      </c>
      <c r="H468" t="inlineStr">
        <is>
          <t>DHL</t>
        </is>
      </c>
      <c r="I468" t="inlineStr">
        <is>
          <t>Bike</t>
        </is>
      </c>
      <c r="J468" t="inlineStr">
        <is>
          <t>Normal</t>
        </is>
      </c>
      <c r="K468" t="inlineStr">
        <is>
          <t>Delivered</t>
        </is>
      </c>
      <c r="L468" t="n">
        <v>1766.54</v>
      </c>
      <c r="M468" t="n">
        <v>120</v>
      </c>
      <c r="N468" t="n">
        <v>47.76</v>
      </c>
      <c r="O468" t="n">
        <v>695.75</v>
      </c>
      <c r="P468" t="n">
        <v>406.77</v>
      </c>
      <c r="Q468">
        <f>ROUND(L468*M468*N468/1000+O468+P468,2)</f>
        <v/>
      </c>
      <c r="R468" t="inlineStr">
        <is>
          <t>No</t>
        </is>
      </c>
      <c r="S468">
        <f>IF(OR(E468="",D468=""),"",MAX(0,E468-D468))</f>
        <v/>
      </c>
      <c r="T468" t="inlineStr">
        <is>
          <t>Yes</t>
        </is>
      </c>
      <c r="U468" t="n">
        <v>15</v>
      </c>
      <c r="V468" t="inlineStr">
        <is>
          <t>Paid</t>
        </is>
      </c>
      <c r="W468" t="n">
        <v>4</v>
      </c>
      <c r="X468" t="inlineStr">
        <is>
          <t>Weather</t>
        </is>
      </c>
    </row>
    <row r="469">
      <c r="A469" t="inlineStr">
        <is>
          <t>ORD-2026-00468</t>
        </is>
      </c>
      <c r="B469" t="inlineStr">
        <is>
          <t>CUST-0169</t>
        </is>
      </c>
      <c r="C469" s="3" t="n">
        <v>46203</v>
      </c>
      <c r="D469" s="3" t="n">
        <v>46205</v>
      </c>
      <c r="E469" s="3" t="n">
        <v>46205</v>
      </c>
      <c r="F469" t="inlineStr">
        <is>
          <t>Chennai</t>
        </is>
      </c>
      <c r="G469" t="inlineStr">
        <is>
          <t>Kolkata</t>
        </is>
      </c>
      <c r="H469" t="inlineStr">
        <is>
          <t>FedEx</t>
        </is>
      </c>
      <c r="I469" t="inlineStr">
        <is>
          <t>Container</t>
        </is>
      </c>
      <c r="J469" t="inlineStr">
        <is>
          <t>Low</t>
        </is>
      </c>
      <c r="K469" t="inlineStr">
        <is>
          <t>Delivered</t>
        </is>
      </c>
      <c r="L469" t="n">
        <v>1057.65</v>
      </c>
      <c r="M469" t="n">
        <v>1753</v>
      </c>
      <c r="N469" t="n">
        <v>22.41</v>
      </c>
      <c r="O469" t="n">
        <v>1999.91</v>
      </c>
      <c r="P469" t="n">
        <v>1452.17</v>
      </c>
      <c r="Q469">
        <f>ROUND(L469*M469*N469/1000+O469+P469,2)</f>
        <v/>
      </c>
      <c r="R469" t="inlineStr">
        <is>
          <t>Yes</t>
        </is>
      </c>
      <c r="S469">
        <f>IF(OR(E469="",D469=""),"",MAX(0,E469-D469))</f>
        <v/>
      </c>
      <c r="T469" t="inlineStr">
        <is>
          <t>Yes</t>
        </is>
      </c>
      <c r="U469" t="n">
        <v>74</v>
      </c>
      <c r="V469" t="inlineStr">
        <is>
          <t>COD</t>
        </is>
      </c>
      <c r="W469" t="n">
        <v>2</v>
      </c>
      <c r="X469" t="inlineStr">
        <is>
          <t>Vehicle Breakdown</t>
        </is>
      </c>
    </row>
    <row r="470">
      <c r="A470" t="inlineStr">
        <is>
          <t>ORD-2026-00469</t>
        </is>
      </c>
      <c r="B470" t="inlineStr">
        <is>
          <t>CUST-0179</t>
        </is>
      </c>
      <c r="C470" s="3" t="n">
        <v>46214</v>
      </c>
      <c r="D470" s="3" t="n">
        <v>46218</v>
      </c>
      <c r="E470" s="3" t="n">
        <v>46223</v>
      </c>
      <c r="F470" t="inlineStr">
        <is>
          <t>Chennai</t>
        </is>
      </c>
      <c r="G470" t="inlineStr">
        <is>
          <t>Surat</t>
        </is>
      </c>
      <c r="H470" t="inlineStr">
        <is>
          <t>Delhivery</t>
        </is>
      </c>
      <c r="I470" t="inlineStr">
        <is>
          <t>Refrigerated Truck</t>
        </is>
      </c>
      <c r="J470" t="inlineStr">
        <is>
          <t>Critical</t>
        </is>
      </c>
      <c r="K470" t="inlineStr">
        <is>
          <t>Delivered</t>
        </is>
      </c>
      <c r="L470" t="n">
        <v>770.6</v>
      </c>
      <c r="M470" t="n">
        <v>694</v>
      </c>
      <c r="N470" t="n">
        <v>54.53</v>
      </c>
      <c r="O470" t="n">
        <v>877.64</v>
      </c>
      <c r="P470" t="n">
        <v>123.37</v>
      </c>
      <c r="Q470">
        <f>ROUND(L470*M470*N470/1000+O470+P470,2)</f>
        <v/>
      </c>
      <c r="R470" t="inlineStr">
        <is>
          <t>No</t>
        </is>
      </c>
      <c r="S470">
        <f>IF(OR(E470="",D470=""),"",MAX(0,E470-D470))</f>
        <v/>
      </c>
      <c r="T470" t="inlineStr">
        <is>
          <t>Yes</t>
        </is>
      </c>
      <c r="U470" t="n">
        <v>23</v>
      </c>
      <c r="V470" t="inlineStr">
        <is>
          <t>COD</t>
        </is>
      </c>
      <c r="W470" t="n">
        <v>2</v>
      </c>
      <c r="X470" t="inlineStr">
        <is>
          <t>Damaged Package</t>
        </is>
      </c>
    </row>
    <row r="471">
      <c r="A471" t="inlineStr">
        <is>
          <t>ORD-2026-00470</t>
        </is>
      </c>
      <c r="B471" t="inlineStr">
        <is>
          <t>CUST-0047</t>
        </is>
      </c>
      <c r="C471" s="3" t="n">
        <v>46057</v>
      </c>
      <c r="D471" s="3" t="n">
        <v>46061</v>
      </c>
      <c r="E471" s="3" t="n">
        <v>46061</v>
      </c>
      <c r="F471" t="inlineStr">
        <is>
          <t>Bengaluru</t>
        </is>
      </c>
      <c r="G471" t="inlineStr">
        <is>
          <t>Pune</t>
        </is>
      </c>
      <c r="H471" t="inlineStr">
        <is>
          <t>Aramex</t>
        </is>
      </c>
      <c r="I471" t="inlineStr">
        <is>
          <t>Container</t>
        </is>
      </c>
      <c r="J471" t="inlineStr">
        <is>
          <t>Critical</t>
        </is>
      </c>
      <c r="K471" t="inlineStr">
        <is>
          <t>Delivered</t>
        </is>
      </c>
      <c r="L471" t="n">
        <v>276.04</v>
      </c>
      <c r="M471" t="n">
        <v>2327</v>
      </c>
      <c r="N471" t="n">
        <v>54.42</v>
      </c>
      <c r="O471" t="n">
        <v>1438.05</v>
      </c>
      <c r="P471" t="n">
        <v>107.29</v>
      </c>
      <c r="Q471">
        <f>ROUND(L471*M471*N471/1000+O471+P471,2)</f>
        <v/>
      </c>
      <c r="R471" t="inlineStr">
        <is>
          <t>Yes</t>
        </is>
      </c>
      <c r="S471">
        <f>IF(OR(E471="",D471=""),"",MAX(0,E471-D471))</f>
        <v/>
      </c>
      <c r="T471" t="inlineStr">
        <is>
          <t>Yes</t>
        </is>
      </c>
      <c r="U471" t="n">
        <v>22</v>
      </c>
      <c r="V471" t="inlineStr">
        <is>
          <t>Paid</t>
        </is>
      </c>
      <c r="W471" t="n">
        <v>3</v>
      </c>
      <c r="X471" t="inlineStr">
        <is>
          <t>None</t>
        </is>
      </c>
    </row>
    <row r="472">
      <c r="A472" t="inlineStr">
        <is>
          <t>ORD-2026-00471</t>
        </is>
      </c>
      <c r="B472" t="inlineStr">
        <is>
          <t>CUST-0069</t>
        </is>
      </c>
      <c r="C472" s="3" t="n">
        <v>46119</v>
      </c>
      <c r="D472" s="3" t="n">
        <v>46121</v>
      </c>
      <c r="E472" s="3" t="n">
        <v>46121</v>
      </c>
      <c r="F472" t="inlineStr">
        <is>
          <t>Ahmedabad</t>
        </is>
      </c>
      <c r="G472" t="inlineStr">
        <is>
          <t>Kolkata</t>
        </is>
      </c>
      <c r="H472" t="inlineStr">
        <is>
          <t>Aramex</t>
        </is>
      </c>
      <c r="I472" t="inlineStr">
        <is>
          <t>Van</t>
        </is>
      </c>
      <c r="J472" t="inlineStr">
        <is>
          <t>Low</t>
        </is>
      </c>
      <c r="K472" t="inlineStr">
        <is>
          <t>Delivered</t>
        </is>
      </c>
      <c r="L472" t="n">
        <v>1464.32</v>
      </c>
      <c r="M472" t="n">
        <v>1962</v>
      </c>
      <c r="N472" t="n">
        <v>35.66</v>
      </c>
      <c r="O472" t="n">
        <v>7748.58</v>
      </c>
      <c r="P472" t="n">
        <v>34.07</v>
      </c>
      <c r="Q472">
        <f>ROUND(L472*M472*N472/1000+O472+P472,2)</f>
        <v/>
      </c>
      <c r="R472" t="inlineStr">
        <is>
          <t>Yes</t>
        </is>
      </c>
      <c r="S472">
        <f>IF(OR(E472="",D472=""),"",MAX(0,E472-D472))</f>
        <v/>
      </c>
      <c r="T472" t="inlineStr">
        <is>
          <t>Yes</t>
        </is>
      </c>
      <c r="U472" t="n">
        <v>67</v>
      </c>
      <c r="V472" t="inlineStr">
        <is>
          <t>Paid</t>
        </is>
      </c>
      <c r="W472" t="n">
        <v>4</v>
      </c>
      <c r="X472" t="inlineStr">
        <is>
          <t>Customs</t>
        </is>
      </c>
    </row>
    <row r="473">
      <c r="A473" t="inlineStr">
        <is>
          <t>ORD-2026-00472</t>
        </is>
      </c>
      <c r="B473" t="inlineStr">
        <is>
          <t>CUST-0081</t>
        </is>
      </c>
      <c r="C473" s="3" t="n">
        <v>46156</v>
      </c>
      <c r="D473" s="3" t="n">
        <v>46161</v>
      </c>
      <c r="E473" s="3" t="n">
        <v>46166</v>
      </c>
      <c r="F473" t="inlineStr">
        <is>
          <t>Bengaluru</t>
        </is>
      </c>
      <c r="G473" t="inlineStr">
        <is>
          <t>Hyderabad</t>
        </is>
      </c>
      <c r="H473" t="inlineStr">
        <is>
          <t>Maersk</t>
        </is>
      </c>
      <c r="I473" t="inlineStr">
        <is>
          <t>Container</t>
        </is>
      </c>
      <c r="J473" t="inlineStr">
        <is>
          <t>Critical</t>
        </is>
      </c>
      <c r="K473" t="inlineStr">
        <is>
          <t>Delivered</t>
        </is>
      </c>
      <c r="L473" t="n">
        <v>842.91</v>
      </c>
      <c r="M473" t="n">
        <v>1764</v>
      </c>
      <c r="N473" t="n">
        <v>27.18</v>
      </c>
      <c r="O473" t="n">
        <v>2865.8</v>
      </c>
      <c r="P473" t="n">
        <v>527.75</v>
      </c>
      <c r="Q473">
        <f>ROUND(L473*M473*N473/1000+O473+P473,2)</f>
        <v/>
      </c>
      <c r="R473" t="inlineStr">
        <is>
          <t>No</t>
        </is>
      </c>
      <c r="S473">
        <f>IF(OR(E473="",D473=""),"",MAX(0,E473-D473))</f>
        <v/>
      </c>
      <c r="T473" t="inlineStr">
        <is>
          <t>Yes</t>
        </is>
      </c>
      <c r="U473" t="n">
        <v>46</v>
      </c>
      <c r="V473" t="inlineStr">
        <is>
          <t>COD</t>
        </is>
      </c>
      <c r="W473" t="n">
        <v>1</v>
      </c>
      <c r="X473" t="inlineStr">
        <is>
          <t>None</t>
        </is>
      </c>
    </row>
    <row r="474">
      <c r="A474" t="inlineStr">
        <is>
          <t>ORD-2026-00473</t>
        </is>
      </c>
      <c r="B474" t="inlineStr">
        <is>
          <t>CUST-0193</t>
        </is>
      </c>
      <c r="C474" s="3" t="n">
        <v>46139</v>
      </c>
      <c r="D474" s="3" t="n">
        <v>46146</v>
      </c>
      <c r="E474" s="3" t="n">
        <v>46147</v>
      </c>
      <c r="F474" t="inlineStr">
        <is>
          <t>Bengaluru</t>
        </is>
      </c>
      <c r="G474" t="inlineStr">
        <is>
          <t>Hyderabad</t>
        </is>
      </c>
      <c r="H474" t="inlineStr">
        <is>
          <t>Delhivery</t>
        </is>
      </c>
      <c r="I474" t="inlineStr">
        <is>
          <t>Bike</t>
        </is>
      </c>
      <c r="J474" t="inlineStr">
        <is>
          <t>Critical</t>
        </is>
      </c>
      <c r="K474" t="inlineStr">
        <is>
          <t>Delivered</t>
        </is>
      </c>
      <c r="L474" t="n">
        <v>347.59</v>
      </c>
      <c r="M474" t="n">
        <v>2470</v>
      </c>
      <c r="N474" t="n">
        <v>15</v>
      </c>
      <c r="O474" t="n">
        <v>796.36</v>
      </c>
      <c r="P474" t="n">
        <v>1427.57</v>
      </c>
      <c r="Q474">
        <f>ROUND(L474*M474*N474/1000+O474+P474,2)</f>
        <v/>
      </c>
      <c r="R474" t="inlineStr">
        <is>
          <t>No</t>
        </is>
      </c>
      <c r="S474">
        <f>IF(OR(E474="",D474=""),"",MAX(0,E474-D474))</f>
        <v/>
      </c>
      <c r="T474" t="inlineStr">
        <is>
          <t>No</t>
        </is>
      </c>
      <c r="U474" t="n">
        <v>25</v>
      </c>
      <c r="V474" t="inlineStr">
        <is>
          <t>Paid</t>
        </is>
      </c>
      <c r="W474" t="n">
        <v>3</v>
      </c>
      <c r="X474" t="inlineStr">
        <is>
          <t>None</t>
        </is>
      </c>
    </row>
    <row r="475">
      <c r="A475" t="inlineStr">
        <is>
          <t>ORD-2026-00474</t>
        </is>
      </c>
      <c r="B475" t="inlineStr">
        <is>
          <t>CUST-0157</t>
        </is>
      </c>
      <c r="C475" s="3" t="n">
        <v>46185</v>
      </c>
      <c r="D475" s="3" t="n">
        <v>46191</v>
      </c>
      <c r="E475" s="3" t="n">
        <v>46194</v>
      </c>
      <c r="F475" t="inlineStr">
        <is>
          <t>Mumbai</t>
        </is>
      </c>
      <c r="G475" t="inlineStr">
        <is>
          <t>Hyderabad</t>
        </is>
      </c>
      <c r="H475" t="inlineStr">
        <is>
          <t>Delhivery</t>
        </is>
      </c>
      <c r="I475" t="inlineStr">
        <is>
          <t>Container</t>
        </is>
      </c>
      <c r="J475" t="inlineStr">
        <is>
          <t>Low</t>
        </is>
      </c>
      <c r="K475" t="inlineStr">
        <is>
          <t>Delivered</t>
        </is>
      </c>
      <c r="L475" t="n">
        <v>1839.66</v>
      </c>
      <c r="M475" t="n">
        <v>2781</v>
      </c>
      <c r="N475" t="n">
        <v>33.33</v>
      </c>
      <c r="O475" t="n">
        <v>11323.48</v>
      </c>
      <c r="P475" t="n">
        <v>612.24</v>
      </c>
      <c r="Q475">
        <f>ROUND(L475*M475*N475/1000+O475+P475,2)</f>
        <v/>
      </c>
      <c r="R475" t="inlineStr">
        <is>
          <t>No</t>
        </is>
      </c>
      <c r="S475">
        <f>IF(OR(E475="",D475=""),"",MAX(0,E475-D475))</f>
        <v/>
      </c>
      <c r="T475" t="inlineStr">
        <is>
          <t>No</t>
        </is>
      </c>
      <c r="U475" t="n">
        <v>38</v>
      </c>
      <c r="V475" t="inlineStr">
        <is>
          <t>Pending</t>
        </is>
      </c>
      <c r="W475" t="n">
        <v>2</v>
      </c>
      <c r="X475" t="inlineStr">
        <is>
          <t>Customer Unavailable</t>
        </is>
      </c>
    </row>
    <row r="476">
      <c r="A476" t="inlineStr">
        <is>
          <t>ORD-2026-00475</t>
        </is>
      </c>
      <c r="B476" t="inlineStr">
        <is>
          <t>CUST-0230</t>
        </is>
      </c>
      <c r="C476" s="3" t="n">
        <v>46156</v>
      </c>
      <c r="D476" s="3" t="n">
        <v>46157</v>
      </c>
      <c r="E476" s="3" t="n">
        <v>46157</v>
      </c>
      <c r="F476" t="inlineStr">
        <is>
          <t>Jaipur</t>
        </is>
      </c>
      <c r="G476" t="inlineStr">
        <is>
          <t>Mumbai</t>
        </is>
      </c>
      <c r="H476" t="inlineStr">
        <is>
          <t>Delhivery</t>
        </is>
      </c>
      <c r="I476" t="inlineStr">
        <is>
          <t>Bike</t>
        </is>
      </c>
      <c r="J476" t="inlineStr">
        <is>
          <t>Normal</t>
        </is>
      </c>
      <c r="K476" t="inlineStr">
        <is>
          <t>Delivered</t>
        </is>
      </c>
      <c r="L476" t="n">
        <v>753.72</v>
      </c>
      <c r="M476" t="n">
        <v>2761</v>
      </c>
      <c r="N476" t="n">
        <v>64.79000000000001</v>
      </c>
      <c r="O476" t="n">
        <v>12031.25</v>
      </c>
      <c r="P476" t="n">
        <v>710.87</v>
      </c>
      <c r="Q476">
        <f>ROUND(L476*M476*N476/1000+O476+P476,2)</f>
        <v/>
      </c>
      <c r="R476" t="inlineStr">
        <is>
          <t>Yes</t>
        </is>
      </c>
      <c r="S476">
        <f>IF(OR(E476="",D476=""),"",MAX(0,E476-D476))</f>
        <v/>
      </c>
      <c r="T476" t="inlineStr">
        <is>
          <t>Yes</t>
        </is>
      </c>
      <c r="U476" t="n">
        <v>28</v>
      </c>
      <c r="V476" t="inlineStr">
        <is>
          <t>Pending</t>
        </is>
      </c>
      <c r="W476" t="n">
        <v>1</v>
      </c>
      <c r="X476" t="inlineStr">
        <is>
          <t>None</t>
        </is>
      </c>
    </row>
    <row r="477">
      <c r="A477" t="inlineStr">
        <is>
          <t>ORD-2026-00476</t>
        </is>
      </c>
      <c r="B477" t="inlineStr">
        <is>
          <t>CUST-0230</t>
        </is>
      </c>
      <c r="C477" s="3" t="n">
        <v>46134</v>
      </c>
      <c r="D477" s="3" t="n">
        <v>46135</v>
      </c>
      <c r="E477" s="3" t="n">
        <v>46135</v>
      </c>
      <c r="F477" t="inlineStr">
        <is>
          <t>Mumbai</t>
        </is>
      </c>
      <c r="G477" t="inlineStr">
        <is>
          <t>Delhi</t>
        </is>
      </c>
      <c r="H477" t="inlineStr">
        <is>
          <t>DTDC</t>
        </is>
      </c>
      <c r="I477" t="inlineStr">
        <is>
          <t>Container</t>
        </is>
      </c>
      <c r="J477" t="inlineStr">
        <is>
          <t>Low</t>
        </is>
      </c>
      <c r="K477" t="inlineStr">
        <is>
          <t>Delivered</t>
        </is>
      </c>
      <c r="L477" t="n">
        <v>2256.67</v>
      </c>
      <c r="M477" t="n">
        <v>1153</v>
      </c>
      <c r="N477" t="n">
        <v>20.56</v>
      </c>
      <c r="O477" t="n">
        <v>2431.8</v>
      </c>
      <c r="P477" t="n">
        <v>724.9299999999999</v>
      </c>
      <c r="Q477">
        <f>ROUND(L477*M477*N477/1000+O477+P477,2)</f>
        <v/>
      </c>
      <c r="R477" t="inlineStr">
        <is>
          <t>Yes</t>
        </is>
      </c>
      <c r="S477">
        <f>IF(OR(E477="",D477=""),"",MAX(0,E477-D477))</f>
        <v/>
      </c>
      <c r="T477" t="inlineStr">
        <is>
          <t>No</t>
        </is>
      </c>
      <c r="U477" t="n">
        <v>29</v>
      </c>
      <c r="V477" t="inlineStr">
        <is>
          <t>Paid</t>
        </is>
      </c>
      <c r="W477" t="n">
        <v>3</v>
      </c>
      <c r="X477" t="inlineStr">
        <is>
          <t>Weather</t>
        </is>
      </c>
    </row>
    <row r="478">
      <c r="A478" t="inlineStr">
        <is>
          <t>ORD-2026-00477</t>
        </is>
      </c>
      <c r="B478" t="inlineStr">
        <is>
          <t>CUST-0023</t>
        </is>
      </c>
      <c r="C478" s="3" t="n">
        <v>46206</v>
      </c>
      <c r="D478" s="3" t="n">
        <v>46213</v>
      </c>
      <c r="E478" s="3" t="n">
        <v>46214</v>
      </c>
      <c r="F478" t="inlineStr">
        <is>
          <t>Mumbai</t>
        </is>
      </c>
      <c r="G478" t="inlineStr">
        <is>
          <t>Mumbai</t>
        </is>
      </c>
      <c r="H478" t="inlineStr">
        <is>
          <t>FedEx</t>
        </is>
      </c>
      <c r="I478" t="inlineStr">
        <is>
          <t>Bike</t>
        </is>
      </c>
      <c r="J478" t="inlineStr">
        <is>
          <t>Normal</t>
        </is>
      </c>
      <c r="K478" t="inlineStr">
        <is>
          <t>Delivered</t>
        </is>
      </c>
      <c r="L478" t="n">
        <v>2415.64</v>
      </c>
      <c r="M478" t="n">
        <v>1794</v>
      </c>
      <c r="N478" t="n">
        <v>54.08</v>
      </c>
      <c r="O478" t="n">
        <v>10174.47</v>
      </c>
      <c r="P478" t="n">
        <v>191.22</v>
      </c>
      <c r="Q478">
        <f>ROUND(L478*M478*N478/1000+O478+P478,2)</f>
        <v/>
      </c>
      <c r="R478" t="inlineStr">
        <is>
          <t>No</t>
        </is>
      </c>
      <c r="S478">
        <f>IF(OR(E478="",D478=""),"",MAX(0,E478-D478))</f>
        <v/>
      </c>
      <c r="T478" t="inlineStr">
        <is>
          <t>Yes</t>
        </is>
      </c>
      <c r="U478" t="n">
        <v>74</v>
      </c>
      <c r="V478" t="inlineStr">
        <is>
          <t>COD</t>
        </is>
      </c>
      <c r="W478" t="n">
        <v>2</v>
      </c>
      <c r="X478" t="inlineStr">
        <is>
          <t>Customer Unavailable</t>
        </is>
      </c>
    </row>
    <row r="479">
      <c r="A479" t="inlineStr">
        <is>
          <t>ORD-2026-00478</t>
        </is>
      </c>
      <c r="B479" t="inlineStr">
        <is>
          <t>CUST-0094</t>
        </is>
      </c>
      <c r="C479" s="3" t="n">
        <v>46103</v>
      </c>
      <c r="D479" s="3" t="n">
        <v>46110</v>
      </c>
      <c r="E479" s="3" t="n"/>
      <c r="F479" t="inlineStr">
        <is>
          <t>Delhi</t>
        </is>
      </c>
      <c r="G479" t="inlineStr">
        <is>
          <t>Surat</t>
        </is>
      </c>
      <c r="H479" t="inlineStr">
        <is>
          <t>Maersk</t>
        </is>
      </c>
      <c r="I479" t="inlineStr">
        <is>
          <t>Bike</t>
        </is>
      </c>
      <c r="J479" t="inlineStr">
        <is>
          <t>Normal</t>
        </is>
      </c>
      <c r="K479" t="inlineStr">
        <is>
          <t>In Transit</t>
        </is>
      </c>
      <c r="L479" t="n">
        <v>1475.35</v>
      </c>
      <c r="M479" t="n">
        <v>782</v>
      </c>
      <c r="N479" t="n">
        <v>56.29</v>
      </c>
      <c r="O479" t="n">
        <v>5766.36</v>
      </c>
      <c r="P479" t="n">
        <v>493.07</v>
      </c>
      <c r="Q479">
        <f>ROUND(L479*M479*N479/1000+O479+P479,2)</f>
        <v/>
      </c>
      <c r="R479" t="inlineStr">
        <is>
          <t>No</t>
        </is>
      </c>
      <c r="S479">
        <f>IF(OR(E479="",D479=""),"",MAX(0,E479-D479))</f>
        <v/>
      </c>
      <c r="T479" t="inlineStr">
        <is>
          <t>Yes</t>
        </is>
      </c>
      <c r="U479" t="n">
        <v>51</v>
      </c>
      <c r="V479" t="inlineStr">
        <is>
          <t>Paid</t>
        </is>
      </c>
      <c r="W479" t="n">
        <v>5</v>
      </c>
      <c r="X479" t="inlineStr">
        <is>
          <t>Customer Unavailable</t>
        </is>
      </c>
    </row>
    <row r="480">
      <c r="A480" t="inlineStr">
        <is>
          <t>ORD-2026-00479</t>
        </is>
      </c>
      <c r="B480" t="inlineStr">
        <is>
          <t>CUST-0192</t>
        </is>
      </c>
      <c r="C480" s="3" t="n">
        <v>46140</v>
      </c>
      <c r="D480" s="3" t="n">
        <v>46146</v>
      </c>
      <c r="E480" s="3" t="n">
        <v>46146</v>
      </c>
      <c r="F480" t="inlineStr">
        <is>
          <t>Ahmedabad</t>
        </is>
      </c>
      <c r="G480" t="inlineStr">
        <is>
          <t>Kolkata</t>
        </is>
      </c>
      <c r="H480" t="inlineStr">
        <is>
          <t>FedEx</t>
        </is>
      </c>
      <c r="I480" t="inlineStr">
        <is>
          <t>Refrigerated Truck</t>
        </is>
      </c>
      <c r="J480" t="inlineStr">
        <is>
          <t>Low</t>
        </is>
      </c>
      <c r="K480" t="inlineStr">
        <is>
          <t>Delivered</t>
        </is>
      </c>
      <c r="L480" t="n">
        <v>2093.12</v>
      </c>
      <c r="M480" t="n">
        <v>2052</v>
      </c>
      <c r="N480" t="n">
        <v>46.76</v>
      </c>
      <c r="O480" t="n">
        <v>7801.66</v>
      </c>
      <c r="P480" t="n">
        <v>439.42</v>
      </c>
      <c r="Q480">
        <f>ROUND(L480*M480*N480/1000+O480+P480,2)</f>
        <v/>
      </c>
      <c r="R480" t="inlineStr">
        <is>
          <t>Yes</t>
        </is>
      </c>
      <c r="S480">
        <f>IF(OR(E480="",D480=""),"",MAX(0,E480-D480))</f>
        <v/>
      </c>
      <c r="T480" t="inlineStr">
        <is>
          <t>No</t>
        </is>
      </c>
      <c r="U480" t="n">
        <v>74</v>
      </c>
      <c r="V480" t="inlineStr">
        <is>
          <t>Failed</t>
        </is>
      </c>
      <c r="W480" t="n">
        <v>2</v>
      </c>
      <c r="X480" t="inlineStr">
        <is>
          <t>Weather</t>
        </is>
      </c>
    </row>
    <row r="481">
      <c r="A481" t="inlineStr">
        <is>
          <t>ORD-2026-00480</t>
        </is>
      </c>
      <c r="B481" t="inlineStr">
        <is>
          <t>CUST-0189</t>
        </is>
      </c>
      <c r="C481" s="3" t="n">
        <v>46097</v>
      </c>
      <c r="D481" s="3" t="n">
        <v>46104</v>
      </c>
      <c r="E481" s="3" t="n">
        <v>46104</v>
      </c>
      <c r="F481" t="inlineStr">
        <is>
          <t>Ahmedabad</t>
        </is>
      </c>
      <c r="G481" t="inlineStr">
        <is>
          <t>Delhi</t>
        </is>
      </c>
      <c r="H481" t="inlineStr">
        <is>
          <t>Aramex</t>
        </is>
      </c>
      <c r="I481" t="inlineStr">
        <is>
          <t>Container</t>
        </is>
      </c>
      <c r="J481" t="inlineStr">
        <is>
          <t>Critical</t>
        </is>
      </c>
      <c r="K481" t="inlineStr">
        <is>
          <t>Delivered</t>
        </is>
      </c>
      <c r="L481" t="n">
        <v>382.18</v>
      </c>
      <c r="M481" t="n">
        <v>867</v>
      </c>
      <c r="N481" t="n">
        <v>56.34</v>
      </c>
      <c r="O481" t="n">
        <v>1606.7</v>
      </c>
      <c r="P481" t="n">
        <v>353.11</v>
      </c>
      <c r="Q481">
        <f>ROUND(L481*M481*N481/1000+O481+P481,2)</f>
        <v/>
      </c>
      <c r="R481" t="inlineStr">
        <is>
          <t>Yes</t>
        </is>
      </c>
      <c r="S481">
        <f>IF(OR(E481="",D481=""),"",MAX(0,E481-D481))</f>
        <v/>
      </c>
      <c r="T481" t="inlineStr">
        <is>
          <t>No</t>
        </is>
      </c>
      <c r="U481" t="n">
        <v>21</v>
      </c>
      <c r="V481" t="inlineStr">
        <is>
          <t>Paid</t>
        </is>
      </c>
      <c r="W481" t="n">
        <v>5</v>
      </c>
      <c r="X481" t="inlineStr">
        <is>
          <t>Weather</t>
        </is>
      </c>
    </row>
    <row r="482">
      <c r="A482" t="inlineStr">
        <is>
          <t>ORD-2026-00481</t>
        </is>
      </c>
      <c r="B482" t="inlineStr">
        <is>
          <t>CUST-0237</t>
        </is>
      </c>
      <c r="C482" s="3" t="n">
        <v>46109</v>
      </c>
      <c r="D482" s="3" t="n">
        <v>46116</v>
      </c>
      <c r="E482" s="3" t="n">
        <v>46117</v>
      </c>
      <c r="F482" t="inlineStr">
        <is>
          <t>Bengaluru</t>
        </is>
      </c>
      <c r="G482" t="inlineStr">
        <is>
          <t>Surat</t>
        </is>
      </c>
      <c r="H482" t="inlineStr">
        <is>
          <t>Delhivery</t>
        </is>
      </c>
      <c r="I482" t="inlineStr">
        <is>
          <t>Van</t>
        </is>
      </c>
      <c r="J482" t="inlineStr">
        <is>
          <t>Normal</t>
        </is>
      </c>
      <c r="K482" t="inlineStr">
        <is>
          <t>Delivered</t>
        </is>
      </c>
      <c r="L482" t="n">
        <v>1894.41</v>
      </c>
      <c r="M482" t="n">
        <v>1606</v>
      </c>
      <c r="N482" t="n">
        <v>12.09</v>
      </c>
      <c r="O482" t="n">
        <v>2707.41</v>
      </c>
      <c r="P482" t="n">
        <v>437.9</v>
      </c>
      <c r="Q482">
        <f>ROUND(L482*M482*N482/1000+O482+P482,2)</f>
        <v/>
      </c>
      <c r="R482" t="inlineStr">
        <is>
          <t>No</t>
        </is>
      </c>
      <c r="S482">
        <f>IF(OR(E482="",D482=""),"",MAX(0,E482-D482))</f>
        <v/>
      </c>
      <c r="T482" t="inlineStr">
        <is>
          <t>No</t>
        </is>
      </c>
      <c r="U482" t="n">
        <v>75</v>
      </c>
      <c r="V482" t="inlineStr">
        <is>
          <t>Paid</t>
        </is>
      </c>
      <c r="W482" t="n">
        <v>3</v>
      </c>
      <c r="X482" t="inlineStr">
        <is>
          <t>Weather</t>
        </is>
      </c>
    </row>
    <row r="483">
      <c r="A483" t="inlineStr">
        <is>
          <t>ORD-2026-00482</t>
        </is>
      </c>
      <c r="B483" t="inlineStr">
        <is>
          <t>CUST-0167</t>
        </is>
      </c>
      <c r="C483" s="3" t="n">
        <v>46190</v>
      </c>
      <c r="D483" s="3" t="n">
        <v>46193</v>
      </c>
      <c r="E483" s="3" t="n">
        <v>46194</v>
      </c>
      <c r="F483" t="inlineStr">
        <is>
          <t>Ahmedabad</t>
        </is>
      </c>
      <c r="G483" t="inlineStr">
        <is>
          <t>Hyderabad</t>
        </is>
      </c>
      <c r="H483" t="inlineStr">
        <is>
          <t>Maersk</t>
        </is>
      </c>
      <c r="I483" t="inlineStr">
        <is>
          <t>Bike</t>
        </is>
      </c>
      <c r="J483" t="inlineStr">
        <is>
          <t>Low</t>
        </is>
      </c>
      <c r="K483" t="inlineStr">
        <is>
          <t>Delivered</t>
        </is>
      </c>
      <c r="L483" t="n">
        <v>1206.36</v>
      </c>
      <c r="M483" t="n">
        <v>598</v>
      </c>
      <c r="N483" t="n">
        <v>19.96</v>
      </c>
      <c r="O483" t="n">
        <v>1126.9</v>
      </c>
      <c r="P483" t="n">
        <v>309.57</v>
      </c>
      <c r="Q483">
        <f>ROUND(L483*M483*N483/1000+O483+P483,2)</f>
        <v/>
      </c>
      <c r="R483" t="inlineStr">
        <is>
          <t>No</t>
        </is>
      </c>
      <c r="S483">
        <f>IF(OR(E483="",D483=""),"",MAX(0,E483-D483))</f>
        <v/>
      </c>
      <c r="T483" t="inlineStr">
        <is>
          <t>Yes</t>
        </is>
      </c>
      <c r="U483" t="n">
        <v>49</v>
      </c>
      <c r="V483" t="inlineStr">
        <is>
          <t>Failed</t>
        </is>
      </c>
      <c r="W483" t="n">
        <v>2</v>
      </c>
      <c r="X483" t="inlineStr">
        <is>
          <t>None</t>
        </is>
      </c>
    </row>
    <row r="484">
      <c r="A484" t="inlineStr">
        <is>
          <t>ORD-2026-00483</t>
        </is>
      </c>
      <c r="B484" t="inlineStr">
        <is>
          <t>CUST-0161</t>
        </is>
      </c>
      <c r="C484" s="3" t="n">
        <v>46047</v>
      </c>
      <c r="D484" s="3" t="n">
        <v>46053</v>
      </c>
      <c r="E484" s="3" t="n">
        <v>46063</v>
      </c>
      <c r="F484" t="inlineStr">
        <is>
          <t>Chennai</t>
        </is>
      </c>
      <c r="G484" t="inlineStr">
        <is>
          <t>Bengaluru</t>
        </is>
      </c>
      <c r="H484" t="inlineStr">
        <is>
          <t>BlueDart</t>
        </is>
      </c>
      <c r="I484" t="inlineStr">
        <is>
          <t>Van</t>
        </is>
      </c>
      <c r="J484" t="inlineStr">
        <is>
          <t>Normal</t>
        </is>
      </c>
      <c r="K484" t="inlineStr">
        <is>
          <t>Delivered</t>
        </is>
      </c>
      <c r="L484" t="n">
        <v>131.65</v>
      </c>
      <c r="M484" t="n">
        <v>2116</v>
      </c>
      <c r="N484" t="n">
        <v>45.06</v>
      </c>
      <c r="O484" t="n">
        <v>823.48</v>
      </c>
      <c r="P484" t="n">
        <v>1455.2</v>
      </c>
      <c r="Q484">
        <f>ROUND(L484*M484*N484/1000+O484+P484,2)</f>
        <v/>
      </c>
      <c r="R484" t="inlineStr">
        <is>
          <t>No</t>
        </is>
      </c>
      <c r="S484">
        <f>IF(OR(E484="",D484=""),"",MAX(0,E484-D484))</f>
        <v/>
      </c>
      <c r="T484" t="inlineStr">
        <is>
          <t>No</t>
        </is>
      </c>
      <c r="U484" t="n">
        <v>63</v>
      </c>
      <c r="V484" t="inlineStr">
        <is>
          <t>COD</t>
        </is>
      </c>
      <c r="W484" t="n">
        <v>5</v>
      </c>
      <c r="X484" t="inlineStr">
        <is>
          <t>Address Error</t>
        </is>
      </c>
    </row>
    <row r="485">
      <c r="A485" t="inlineStr">
        <is>
          <t>ORD-2026-00484</t>
        </is>
      </c>
      <c r="B485" t="inlineStr">
        <is>
          <t>CUST-0071</t>
        </is>
      </c>
      <c r="C485" s="3" t="n">
        <v>46190</v>
      </c>
      <c r="D485" s="3" t="n">
        <v>46197</v>
      </c>
      <c r="E485" s="3" t="n">
        <v>46199</v>
      </c>
      <c r="F485" t="inlineStr">
        <is>
          <t>Jaipur</t>
        </is>
      </c>
      <c r="G485" t="inlineStr">
        <is>
          <t>Hyderabad</t>
        </is>
      </c>
      <c r="H485" t="inlineStr">
        <is>
          <t>BlueDart</t>
        </is>
      </c>
      <c r="I485" t="inlineStr">
        <is>
          <t>Van</t>
        </is>
      </c>
      <c r="J485" t="inlineStr">
        <is>
          <t>Low</t>
        </is>
      </c>
      <c r="K485" t="inlineStr">
        <is>
          <t>Delivered</t>
        </is>
      </c>
      <c r="L485" t="n">
        <v>1677</v>
      </c>
      <c r="M485" t="n">
        <v>372</v>
      </c>
      <c r="N485" t="n">
        <v>52.33</v>
      </c>
      <c r="O485" t="n">
        <v>2673.48</v>
      </c>
      <c r="P485" t="n">
        <v>982.46</v>
      </c>
      <c r="Q485">
        <f>ROUND(L485*M485*N485/1000+O485+P485,2)</f>
        <v/>
      </c>
      <c r="R485" t="inlineStr">
        <is>
          <t>No</t>
        </is>
      </c>
      <c r="S485">
        <f>IF(OR(E485="",D485=""),"",MAX(0,E485-D485))</f>
        <v/>
      </c>
      <c r="T485" t="inlineStr">
        <is>
          <t>Yes</t>
        </is>
      </c>
      <c r="U485" t="n">
        <v>16</v>
      </c>
      <c r="V485" t="inlineStr">
        <is>
          <t>Failed</t>
        </is>
      </c>
      <c r="W485" t="n">
        <v>5</v>
      </c>
      <c r="X485" t="inlineStr">
        <is>
          <t>Address Error</t>
        </is>
      </c>
    </row>
    <row r="486">
      <c r="A486" t="inlineStr">
        <is>
          <t>ORD-2026-00485</t>
        </is>
      </c>
      <c r="B486" t="inlineStr">
        <is>
          <t>CUST-0077</t>
        </is>
      </c>
      <c r="C486" s="3" t="n">
        <v>46028</v>
      </c>
      <c r="D486" s="3" t="n">
        <v>46036</v>
      </c>
      <c r="E486" s="3" t="n">
        <v>46036</v>
      </c>
      <c r="F486" t="inlineStr">
        <is>
          <t>Kolkata</t>
        </is>
      </c>
      <c r="G486" t="inlineStr">
        <is>
          <t>Delhi</t>
        </is>
      </c>
      <c r="H486" t="inlineStr">
        <is>
          <t>BlueDart</t>
        </is>
      </c>
      <c r="I486" t="inlineStr">
        <is>
          <t>Refrigerated Truck</t>
        </is>
      </c>
      <c r="J486" t="inlineStr">
        <is>
          <t>Low</t>
        </is>
      </c>
      <c r="K486" t="inlineStr">
        <is>
          <t>Delivered</t>
        </is>
      </c>
      <c r="L486" t="n">
        <v>1985.96</v>
      </c>
      <c r="M486" t="n">
        <v>746</v>
      </c>
      <c r="N486" t="n">
        <v>29.89</v>
      </c>
      <c r="O486" t="n">
        <v>3985.33</v>
      </c>
      <c r="P486" t="n">
        <v>1060.05</v>
      </c>
      <c r="Q486">
        <f>ROUND(L486*M486*N486/1000+O486+P486,2)</f>
        <v/>
      </c>
      <c r="R486" t="inlineStr">
        <is>
          <t>Yes</t>
        </is>
      </c>
      <c r="S486">
        <f>IF(OR(E486="",D486=""),"",MAX(0,E486-D486))</f>
        <v/>
      </c>
      <c r="T486" t="inlineStr">
        <is>
          <t>Yes</t>
        </is>
      </c>
      <c r="U486" t="n">
        <v>52</v>
      </c>
      <c r="V486" t="inlineStr">
        <is>
          <t>Paid</t>
        </is>
      </c>
      <c r="W486" t="n">
        <v>4</v>
      </c>
      <c r="X486" t="inlineStr">
        <is>
          <t>Customs</t>
        </is>
      </c>
    </row>
    <row r="487">
      <c r="A487" t="inlineStr">
        <is>
          <t>ORD-2026-00486</t>
        </is>
      </c>
      <c r="B487" t="inlineStr">
        <is>
          <t>CUST-0230</t>
        </is>
      </c>
      <c r="C487" s="3" t="n">
        <v>46232</v>
      </c>
      <c r="D487" s="3" t="n">
        <v>46240</v>
      </c>
      <c r="E487" s="3" t="n">
        <v>46240</v>
      </c>
      <c r="F487" t="inlineStr">
        <is>
          <t>Mumbai</t>
        </is>
      </c>
      <c r="G487" t="inlineStr">
        <is>
          <t>Delhi</t>
        </is>
      </c>
      <c r="H487" t="inlineStr">
        <is>
          <t>Aramex</t>
        </is>
      </c>
      <c r="I487" t="inlineStr">
        <is>
          <t>Bike</t>
        </is>
      </c>
      <c r="J487" t="inlineStr">
        <is>
          <t>Normal</t>
        </is>
      </c>
      <c r="K487" t="inlineStr">
        <is>
          <t>Delivered</t>
        </is>
      </c>
      <c r="L487" t="n">
        <v>1347.68</v>
      </c>
      <c r="M487" t="n">
        <v>2674</v>
      </c>
      <c r="N487" t="n">
        <v>15.07</v>
      </c>
      <c r="O487" t="n">
        <v>4082.81</v>
      </c>
      <c r="P487" t="n">
        <v>1449.21</v>
      </c>
      <c r="Q487">
        <f>ROUND(L487*M487*N487/1000+O487+P487,2)</f>
        <v/>
      </c>
      <c r="R487" t="inlineStr">
        <is>
          <t>Yes</t>
        </is>
      </c>
      <c r="S487">
        <f>IF(OR(E487="",D487=""),"",MAX(0,E487-D487))</f>
        <v/>
      </c>
      <c r="T487" t="inlineStr">
        <is>
          <t>Yes</t>
        </is>
      </c>
      <c r="U487" t="n">
        <v>72</v>
      </c>
      <c r="V487" t="inlineStr">
        <is>
          <t>Failed</t>
        </is>
      </c>
      <c r="W487" t="n">
        <v>3</v>
      </c>
      <c r="X487" t="inlineStr">
        <is>
          <t>None</t>
        </is>
      </c>
    </row>
    <row r="488">
      <c r="A488" t="inlineStr">
        <is>
          <t>ORD-2026-00487</t>
        </is>
      </c>
      <c r="B488" t="inlineStr">
        <is>
          <t>CUST-0130</t>
        </is>
      </c>
      <c r="C488" s="3" t="n">
        <v>46033</v>
      </c>
      <c r="D488" s="3" t="n">
        <v>46036</v>
      </c>
      <c r="E488" s="3" t="n">
        <v>46037</v>
      </c>
      <c r="F488" t="inlineStr">
        <is>
          <t>Pune</t>
        </is>
      </c>
      <c r="G488" t="inlineStr">
        <is>
          <t>Hyderabad</t>
        </is>
      </c>
      <c r="H488" t="inlineStr">
        <is>
          <t>DTDC</t>
        </is>
      </c>
      <c r="I488" t="inlineStr">
        <is>
          <t>Truck</t>
        </is>
      </c>
      <c r="J488" t="inlineStr">
        <is>
          <t>Critical</t>
        </is>
      </c>
      <c r="K488" t="inlineStr">
        <is>
          <t>Delivered</t>
        </is>
      </c>
      <c r="L488" t="n">
        <v>220.01</v>
      </c>
      <c r="M488" t="n">
        <v>1056</v>
      </c>
      <c r="N488" t="n">
        <v>56.53</v>
      </c>
      <c r="O488" t="n">
        <v>421.59</v>
      </c>
      <c r="P488" t="n">
        <v>1470.29</v>
      </c>
      <c r="Q488">
        <f>ROUND(L488*M488*N488/1000+O488+P488,2)</f>
        <v/>
      </c>
      <c r="R488" t="inlineStr">
        <is>
          <t>No</t>
        </is>
      </c>
      <c r="S488">
        <f>IF(OR(E488="",D488=""),"",MAX(0,E488-D488))</f>
        <v/>
      </c>
      <c r="T488" t="inlineStr">
        <is>
          <t>Yes</t>
        </is>
      </c>
      <c r="U488" t="n">
        <v>32</v>
      </c>
      <c r="V488" t="inlineStr">
        <is>
          <t>COD</t>
        </is>
      </c>
      <c r="W488" t="n">
        <v>1</v>
      </c>
      <c r="X488" t="inlineStr">
        <is>
          <t>Customs</t>
        </is>
      </c>
    </row>
    <row r="489">
      <c r="A489" t="inlineStr">
        <is>
          <t>ORD-2026-00488</t>
        </is>
      </c>
      <c r="B489" t="inlineStr">
        <is>
          <t>CUST-0138</t>
        </is>
      </c>
      <c r="C489" s="3" t="n">
        <v>46223</v>
      </c>
      <c r="D489" s="3" t="n">
        <v>46228</v>
      </c>
      <c r="E489" s="3" t="n">
        <v>46229</v>
      </c>
      <c r="F489" t="inlineStr">
        <is>
          <t>Surat</t>
        </is>
      </c>
      <c r="G489" t="inlineStr">
        <is>
          <t>Bengaluru</t>
        </is>
      </c>
      <c r="H489" t="inlineStr">
        <is>
          <t>Maersk</t>
        </is>
      </c>
      <c r="I489" t="inlineStr">
        <is>
          <t>Van</t>
        </is>
      </c>
      <c r="J489" t="inlineStr">
        <is>
          <t>Low</t>
        </is>
      </c>
      <c r="K489" t="inlineStr">
        <is>
          <t>Delivered</t>
        </is>
      </c>
      <c r="L489" t="n">
        <v>1442.89</v>
      </c>
      <c r="M489" t="n">
        <v>1286</v>
      </c>
      <c r="N489" t="n">
        <v>37.79</v>
      </c>
      <c r="O489" t="n">
        <v>6252.11</v>
      </c>
      <c r="P489" t="n">
        <v>541.13</v>
      </c>
      <c r="Q489">
        <f>ROUND(L489*M489*N489/1000+O489+P489,2)</f>
        <v/>
      </c>
      <c r="R489" t="inlineStr">
        <is>
          <t>No</t>
        </is>
      </c>
      <c r="S489">
        <f>IF(OR(E489="",D489=""),"",MAX(0,E489-D489))</f>
        <v/>
      </c>
      <c r="T489" t="inlineStr">
        <is>
          <t>Yes</t>
        </is>
      </c>
      <c r="U489" t="n">
        <v>5</v>
      </c>
      <c r="V489" t="inlineStr">
        <is>
          <t>Pending</t>
        </is>
      </c>
      <c r="W489" t="n">
        <v>2</v>
      </c>
      <c r="X489" t="inlineStr">
        <is>
          <t>Vehicle Breakdown</t>
        </is>
      </c>
    </row>
    <row r="490">
      <c r="A490" t="inlineStr">
        <is>
          <t>ORD-2026-00489</t>
        </is>
      </c>
      <c r="B490" t="inlineStr">
        <is>
          <t>CUST-0141</t>
        </is>
      </c>
      <c r="C490" s="3" t="n">
        <v>46242</v>
      </c>
      <c r="D490" s="3" t="n">
        <v>46246</v>
      </c>
      <c r="E490" s="3" t="n">
        <v>46251</v>
      </c>
      <c r="F490" t="inlineStr">
        <is>
          <t>Pune</t>
        </is>
      </c>
      <c r="G490" t="inlineStr">
        <is>
          <t>Pune</t>
        </is>
      </c>
      <c r="H490" t="inlineStr">
        <is>
          <t>Delhivery</t>
        </is>
      </c>
      <c r="I490" t="inlineStr">
        <is>
          <t>Truck</t>
        </is>
      </c>
      <c r="J490" t="inlineStr">
        <is>
          <t>Critical</t>
        </is>
      </c>
      <c r="K490" t="inlineStr">
        <is>
          <t>Delivered</t>
        </is>
      </c>
      <c r="L490" t="n">
        <v>540.49</v>
      </c>
      <c r="M490" t="n">
        <v>1475</v>
      </c>
      <c r="N490" t="n">
        <v>23.81</v>
      </c>
      <c r="O490" t="n">
        <v>1399.84</v>
      </c>
      <c r="P490" t="n">
        <v>644.58</v>
      </c>
      <c r="Q490">
        <f>ROUND(L490*M490*N490/1000+O490+P490,2)</f>
        <v/>
      </c>
      <c r="R490" t="inlineStr">
        <is>
          <t>No</t>
        </is>
      </c>
      <c r="S490">
        <f>IF(OR(E490="",D490=""),"",MAX(0,E490-D490))</f>
        <v/>
      </c>
      <c r="T490" t="inlineStr">
        <is>
          <t>No</t>
        </is>
      </c>
      <c r="U490" t="n">
        <v>11</v>
      </c>
      <c r="V490" t="inlineStr">
        <is>
          <t>COD</t>
        </is>
      </c>
      <c r="W490" t="n">
        <v>4</v>
      </c>
      <c r="X490" t="inlineStr">
        <is>
          <t>Damaged Package</t>
        </is>
      </c>
    </row>
    <row r="491">
      <c r="A491" t="inlineStr">
        <is>
          <t>ORD-2026-00490</t>
        </is>
      </c>
      <c r="B491" t="inlineStr">
        <is>
          <t>CUST-0211</t>
        </is>
      </c>
      <c r="C491" s="3" t="n">
        <v>46059</v>
      </c>
      <c r="D491" s="3" t="n">
        <v>46063</v>
      </c>
      <c r="E491" s="3" t="n">
        <v>46063</v>
      </c>
      <c r="F491" t="inlineStr">
        <is>
          <t>Surat</t>
        </is>
      </c>
      <c r="G491" t="inlineStr">
        <is>
          <t>Kolkata</t>
        </is>
      </c>
      <c r="H491" t="inlineStr">
        <is>
          <t>DHL</t>
        </is>
      </c>
      <c r="I491" t="inlineStr">
        <is>
          <t>Container</t>
        </is>
      </c>
      <c r="J491" t="inlineStr">
        <is>
          <t>Normal</t>
        </is>
      </c>
      <c r="K491" t="inlineStr">
        <is>
          <t>Delivered</t>
        </is>
      </c>
      <c r="L491" t="n">
        <v>2488.4</v>
      </c>
      <c r="M491" t="n">
        <v>2649</v>
      </c>
      <c r="N491" t="n">
        <v>18.98</v>
      </c>
      <c r="O491" t="n">
        <v>6546.92</v>
      </c>
      <c r="P491" t="n">
        <v>992.83</v>
      </c>
      <c r="Q491">
        <f>ROUND(L491*M491*N491/1000+O491+P491,2)</f>
        <v/>
      </c>
      <c r="R491" t="inlineStr">
        <is>
          <t>Yes</t>
        </is>
      </c>
      <c r="S491">
        <f>IF(OR(E491="",D491=""),"",MAX(0,E491-D491))</f>
        <v/>
      </c>
      <c r="T491" t="inlineStr">
        <is>
          <t>No</t>
        </is>
      </c>
      <c r="U491" t="n">
        <v>56</v>
      </c>
      <c r="V491" t="inlineStr">
        <is>
          <t>Failed</t>
        </is>
      </c>
      <c r="W491" t="n">
        <v>1</v>
      </c>
      <c r="X491" t="inlineStr">
        <is>
          <t>Customs</t>
        </is>
      </c>
    </row>
    <row r="492">
      <c r="A492" t="inlineStr">
        <is>
          <t>ORD-2026-00491</t>
        </is>
      </c>
      <c r="B492" t="inlineStr">
        <is>
          <t>CUST-0086</t>
        </is>
      </c>
      <c r="C492" s="3" t="n">
        <v>46086</v>
      </c>
      <c r="D492" s="3" t="n">
        <v>46088</v>
      </c>
      <c r="E492" s="3" t="n">
        <v>46088</v>
      </c>
      <c r="F492" t="inlineStr">
        <is>
          <t>Pune</t>
        </is>
      </c>
      <c r="G492" t="inlineStr">
        <is>
          <t>Delhi</t>
        </is>
      </c>
      <c r="H492" t="inlineStr">
        <is>
          <t>Aramex</t>
        </is>
      </c>
      <c r="I492" t="inlineStr">
        <is>
          <t>Truck</t>
        </is>
      </c>
      <c r="J492" t="inlineStr">
        <is>
          <t>High</t>
        </is>
      </c>
      <c r="K492" t="inlineStr">
        <is>
          <t>Delivered</t>
        </is>
      </c>
      <c r="L492" t="n">
        <v>1710.11</v>
      </c>
      <c r="M492" t="n">
        <v>1671</v>
      </c>
      <c r="N492" t="n">
        <v>11.76</v>
      </c>
      <c r="O492" t="n">
        <v>2298.96</v>
      </c>
      <c r="P492" t="n">
        <v>556.97</v>
      </c>
      <c r="Q492">
        <f>ROUND(L492*M492*N492/1000+O492+P492,2)</f>
        <v/>
      </c>
      <c r="R492" t="inlineStr">
        <is>
          <t>Yes</t>
        </is>
      </c>
      <c r="S492">
        <f>IF(OR(E492="",D492=""),"",MAX(0,E492-D492))</f>
        <v/>
      </c>
      <c r="T492" t="inlineStr">
        <is>
          <t>Yes</t>
        </is>
      </c>
      <c r="U492" t="n">
        <v>13</v>
      </c>
      <c r="V492" t="inlineStr">
        <is>
          <t>Failed</t>
        </is>
      </c>
      <c r="W492" t="n">
        <v>2</v>
      </c>
      <c r="X492" t="inlineStr">
        <is>
          <t>Weather</t>
        </is>
      </c>
    </row>
    <row r="493">
      <c r="A493" t="inlineStr">
        <is>
          <t>ORD-2026-00492</t>
        </is>
      </c>
      <c r="B493" t="inlineStr">
        <is>
          <t>CUST-0073</t>
        </is>
      </c>
      <c r="C493" s="3" t="n">
        <v>46049</v>
      </c>
      <c r="D493" s="3" t="n">
        <v>46051</v>
      </c>
      <c r="E493" s="3" t="n">
        <v>46051</v>
      </c>
      <c r="F493" t="inlineStr">
        <is>
          <t>Surat</t>
        </is>
      </c>
      <c r="G493" t="inlineStr">
        <is>
          <t>Pune</t>
        </is>
      </c>
      <c r="H493" t="inlineStr">
        <is>
          <t>DTDC</t>
        </is>
      </c>
      <c r="I493" t="inlineStr">
        <is>
          <t>Van</t>
        </is>
      </c>
      <c r="J493" t="inlineStr">
        <is>
          <t>Low</t>
        </is>
      </c>
      <c r="K493" t="inlineStr">
        <is>
          <t>Delivered</t>
        </is>
      </c>
      <c r="L493" t="n">
        <v>766.72</v>
      </c>
      <c r="M493" t="n">
        <v>2010</v>
      </c>
      <c r="N493" t="n">
        <v>13.45</v>
      </c>
      <c r="O493" t="n">
        <v>1055.75</v>
      </c>
      <c r="P493" t="n">
        <v>866.79</v>
      </c>
      <c r="Q493">
        <f>ROUND(L493*M493*N493/1000+O493+P493,2)</f>
        <v/>
      </c>
      <c r="R493" t="inlineStr">
        <is>
          <t>Yes</t>
        </is>
      </c>
      <c r="S493">
        <f>IF(OR(E493="",D493=""),"",MAX(0,E493-D493))</f>
        <v/>
      </c>
      <c r="T493" t="inlineStr">
        <is>
          <t>Yes</t>
        </is>
      </c>
      <c r="U493" t="n">
        <v>41</v>
      </c>
      <c r="V493" t="inlineStr">
        <is>
          <t>Failed</t>
        </is>
      </c>
      <c r="W493" t="n">
        <v>2</v>
      </c>
      <c r="X493" t="inlineStr">
        <is>
          <t>Vehicle Breakdown</t>
        </is>
      </c>
    </row>
    <row r="494">
      <c r="A494" t="inlineStr">
        <is>
          <t>ORD-2026-00493</t>
        </is>
      </c>
      <c r="B494" t="inlineStr">
        <is>
          <t>CUST-0146</t>
        </is>
      </c>
      <c r="C494" s="3" t="n">
        <v>46229</v>
      </c>
      <c r="D494" s="3" t="n">
        <v>46236</v>
      </c>
      <c r="E494" s="3" t="n">
        <v>46236</v>
      </c>
      <c r="F494" t="inlineStr">
        <is>
          <t>Pune</t>
        </is>
      </c>
      <c r="G494" t="inlineStr">
        <is>
          <t>Ahmedabad</t>
        </is>
      </c>
      <c r="H494" t="inlineStr">
        <is>
          <t>Maersk</t>
        </is>
      </c>
      <c r="I494" t="inlineStr">
        <is>
          <t>Refrigerated Truck</t>
        </is>
      </c>
      <c r="J494" t="inlineStr">
        <is>
          <t>Normal</t>
        </is>
      </c>
      <c r="K494" t="inlineStr">
        <is>
          <t>Delivered</t>
        </is>
      </c>
      <c r="L494" t="n">
        <v>24.24</v>
      </c>
      <c r="M494" t="n">
        <v>2108</v>
      </c>
      <c r="N494" t="n">
        <v>48.65</v>
      </c>
      <c r="O494" t="n">
        <v>172.66</v>
      </c>
      <c r="P494" t="n">
        <v>231.15</v>
      </c>
      <c r="Q494">
        <f>ROUND(L494*M494*N494/1000+O494+P494,2)</f>
        <v/>
      </c>
      <c r="R494" t="inlineStr">
        <is>
          <t>Yes</t>
        </is>
      </c>
      <c r="S494">
        <f>IF(OR(E494="",D494=""),"",MAX(0,E494-D494))</f>
        <v/>
      </c>
      <c r="T494" t="inlineStr">
        <is>
          <t>No</t>
        </is>
      </c>
      <c r="U494" t="n">
        <v>59</v>
      </c>
      <c r="V494" t="inlineStr">
        <is>
          <t>Pending</t>
        </is>
      </c>
      <c r="W494" t="n">
        <v>4</v>
      </c>
      <c r="X494" t="inlineStr">
        <is>
          <t>Vehicle Breakdown</t>
        </is>
      </c>
    </row>
    <row r="495">
      <c r="A495" t="inlineStr">
        <is>
          <t>ORD-2026-00494</t>
        </is>
      </c>
      <c r="B495" t="inlineStr">
        <is>
          <t>CUST-0105</t>
        </is>
      </c>
      <c r="C495" s="3" t="n">
        <v>46227</v>
      </c>
      <c r="D495" s="3" t="n">
        <v>46235</v>
      </c>
      <c r="E495" s="3" t="n">
        <v>46235</v>
      </c>
      <c r="F495" t="inlineStr">
        <is>
          <t>Hyderabad</t>
        </is>
      </c>
      <c r="G495" t="inlineStr">
        <is>
          <t>Mumbai</t>
        </is>
      </c>
      <c r="H495" t="inlineStr">
        <is>
          <t>Maersk</t>
        </is>
      </c>
      <c r="I495" t="inlineStr">
        <is>
          <t>Van</t>
        </is>
      </c>
      <c r="J495" t="inlineStr">
        <is>
          <t>Low</t>
        </is>
      </c>
      <c r="K495" t="inlineStr">
        <is>
          <t>Delivered</t>
        </is>
      </c>
      <c r="L495" t="n">
        <v>1069.7</v>
      </c>
      <c r="M495" t="n">
        <v>942</v>
      </c>
      <c r="N495" t="n">
        <v>25.4</v>
      </c>
      <c r="O495" t="n">
        <v>2085.32</v>
      </c>
      <c r="P495" t="n">
        <v>1422.23</v>
      </c>
      <c r="Q495">
        <f>ROUND(L495*M495*N495/1000+O495+P495,2)</f>
        <v/>
      </c>
      <c r="R495" t="inlineStr">
        <is>
          <t>Yes</t>
        </is>
      </c>
      <c r="S495">
        <f>IF(OR(E495="",D495=""),"",MAX(0,E495-D495))</f>
        <v/>
      </c>
      <c r="T495" t="inlineStr">
        <is>
          <t>Yes</t>
        </is>
      </c>
      <c r="U495" t="n">
        <v>12</v>
      </c>
      <c r="V495" t="inlineStr">
        <is>
          <t>Pending</t>
        </is>
      </c>
      <c r="W495" t="n">
        <v>5</v>
      </c>
      <c r="X495" t="inlineStr">
        <is>
          <t>None</t>
        </is>
      </c>
    </row>
    <row r="496">
      <c r="A496" t="inlineStr">
        <is>
          <t>ORD-2026-00495</t>
        </is>
      </c>
      <c r="B496" t="inlineStr">
        <is>
          <t>CUST-0128</t>
        </is>
      </c>
      <c r="C496" s="3" t="n">
        <v>46044</v>
      </c>
      <c r="D496" s="3" t="n">
        <v>46049</v>
      </c>
      <c r="E496" s="3" t="n">
        <v>46050</v>
      </c>
      <c r="F496" t="inlineStr">
        <is>
          <t>Surat</t>
        </is>
      </c>
      <c r="G496" t="inlineStr">
        <is>
          <t>Surat</t>
        </is>
      </c>
      <c r="H496" t="inlineStr">
        <is>
          <t>Maersk</t>
        </is>
      </c>
      <c r="I496" t="inlineStr">
        <is>
          <t>Van</t>
        </is>
      </c>
      <c r="J496" t="inlineStr">
        <is>
          <t>Critical</t>
        </is>
      </c>
      <c r="K496" t="inlineStr">
        <is>
          <t>Delivered</t>
        </is>
      </c>
      <c r="L496" t="n">
        <v>2185.95</v>
      </c>
      <c r="M496" t="n">
        <v>1741</v>
      </c>
      <c r="N496" t="n">
        <v>46.59</v>
      </c>
      <c r="O496" t="n">
        <v>15239.12</v>
      </c>
      <c r="P496" t="n">
        <v>221.91</v>
      </c>
      <c r="Q496">
        <f>ROUND(L496*M496*N496/1000+O496+P496,2)</f>
        <v/>
      </c>
      <c r="R496" t="inlineStr">
        <is>
          <t>No</t>
        </is>
      </c>
      <c r="S496">
        <f>IF(OR(E496="",D496=""),"",MAX(0,E496-D496))</f>
        <v/>
      </c>
      <c r="T496" t="inlineStr">
        <is>
          <t>Yes</t>
        </is>
      </c>
      <c r="U496" t="n">
        <v>79</v>
      </c>
      <c r="V496" t="inlineStr">
        <is>
          <t>Pending</t>
        </is>
      </c>
      <c r="W496" t="n">
        <v>1</v>
      </c>
      <c r="X496" t="inlineStr">
        <is>
          <t>Damaged Package</t>
        </is>
      </c>
    </row>
    <row r="497">
      <c r="A497" t="inlineStr">
        <is>
          <t>ORD-2026-00496</t>
        </is>
      </c>
      <c r="B497" t="inlineStr">
        <is>
          <t>CUST-0044</t>
        </is>
      </c>
      <c r="C497" s="3" t="n">
        <v>46131</v>
      </c>
      <c r="D497" s="3" t="n">
        <v>46137</v>
      </c>
      <c r="E497" s="3" t="n">
        <v>46137</v>
      </c>
      <c r="F497" t="inlineStr">
        <is>
          <t>Surat</t>
        </is>
      </c>
      <c r="G497" t="inlineStr">
        <is>
          <t>Bengaluru</t>
        </is>
      </c>
      <c r="H497" t="inlineStr">
        <is>
          <t>DHL</t>
        </is>
      </c>
      <c r="I497" t="inlineStr">
        <is>
          <t>Van</t>
        </is>
      </c>
      <c r="J497" t="inlineStr">
        <is>
          <t>High</t>
        </is>
      </c>
      <c r="K497" t="inlineStr">
        <is>
          <t>Delivered</t>
        </is>
      </c>
      <c r="L497" t="n">
        <v>2377.2</v>
      </c>
      <c r="M497" t="n">
        <v>2168</v>
      </c>
      <c r="N497" t="n">
        <v>46.99</v>
      </c>
      <c r="O497" t="n">
        <v>7880.72</v>
      </c>
      <c r="P497" t="n">
        <v>684.01</v>
      </c>
      <c r="Q497">
        <f>ROUND(L497*M497*N497/1000+O497+P497,2)</f>
        <v/>
      </c>
      <c r="R497" t="inlineStr">
        <is>
          <t>Yes</t>
        </is>
      </c>
      <c r="S497">
        <f>IF(OR(E497="",D497=""),"",MAX(0,E497-D497))</f>
        <v/>
      </c>
      <c r="T497" t="inlineStr">
        <is>
          <t>Yes</t>
        </is>
      </c>
      <c r="U497" t="n">
        <v>66</v>
      </c>
      <c r="V497" t="inlineStr">
        <is>
          <t>COD</t>
        </is>
      </c>
      <c r="W497" t="n">
        <v>1</v>
      </c>
      <c r="X497" t="inlineStr">
        <is>
          <t>Weather</t>
        </is>
      </c>
    </row>
    <row r="498">
      <c r="A498" t="inlineStr">
        <is>
          <t>ORD-2026-00497</t>
        </is>
      </c>
      <c r="B498" t="inlineStr">
        <is>
          <t>CUST-0031</t>
        </is>
      </c>
      <c r="C498" s="3" t="n">
        <v>46149</v>
      </c>
      <c r="D498" s="3" t="n">
        <v>46156</v>
      </c>
      <c r="E498" s="3" t="n">
        <v>46156</v>
      </c>
      <c r="F498" t="inlineStr">
        <is>
          <t>Pune</t>
        </is>
      </c>
      <c r="G498" t="inlineStr">
        <is>
          <t>Pune</t>
        </is>
      </c>
      <c r="H498" t="inlineStr">
        <is>
          <t>Delhivery</t>
        </is>
      </c>
      <c r="I498" t="inlineStr">
        <is>
          <t>Refrigerated Truck</t>
        </is>
      </c>
      <c r="J498" t="inlineStr">
        <is>
          <t>High</t>
        </is>
      </c>
      <c r="K498" t="inlineStr">
        <is>
          <t>Delivered</t>
        </is>
      </c>
      <c r="L498" t="n">
        <v>845.23</v>
      </c>
      <c r="M498" t="n">
        <v>2786</v>
      </c>
      <c r="N498" t="n">
        <v>22.24</v>
      </c>
      <c r="O498" t="n">
        <v>3265.18</v>
      </c>
      <c r="P498" t="n">
        <v>1154.29</v>
      </c>
      <c r="Q498">
        <f>ROUND(L498*M498*N498/1000+O498+P498,2)</f>
        <v/>
      </c>
      <c r="R498" t="inlineStr">
        <is>
          <t>Yes</t>
        </is>
      </c>
      <c r="S498">
        <f>IF(OR(E498="",D498=""),"",MAX(0,E498-D498))</f>
        <v/>
      </c>
      <c r="T498" t="inlineStr">
        <is>
          <t>Yes</t>
        </is>
      </c>
      <c r="U498" t="n">
        <v>1</v>
      </c>
      <c r="V498" t="inlineStr">
        <is>
          <t>Failed</t>
        </is>
      </c>
      <c r="W498" t="n">
        <v>2</v>
      </c>
      <c r="X498" t="inlineStr">
        <is>
          <t>Vehicle Breakdown</t>
        </is>
      </c>
    </row>
    <row r="499">
      <c r="A499" t="inlineStr">
        <is>
          <t>ORD-2026-00498</t>
        </is>
      </c>
      <c r="B499" t="inlineStr">
        <is>
          <t>CUST-0091</t>
        </is>
      </c>
      <c r="C499" s="3" t="n">
        <v>46187</v>
      </c>
      <c r="D499" s="3" t="n">
        <v>46188</v>
      </c>
      <c r="E499" s="3" t="n">
        <v>46193</v>
      </c>
      <c r="F499" t="inlineStr">
        <is>
          <t>Mumbai</t>
        </is>
      </c>
      <c r="G499" t="inlineStr">
        <is>
          <t>Ahmedabad</t>
        </is>
      </c>
      <c r="H499" t="inlineStr">
        <is>
          <t>FedEx</t>
        </is>
      </c>
      <c r="I499" t="inlineStr">
        <is>
          <t>Truck</t>
        </is>
      </c>
      <c r="J499" t="inlineStr">
        <is>
          <t>Critical</t>
        </is>
      </c>
      <c r="K499" t="inlineStr">
        <is>
          <t>Delivered</t>
        </is>
      </c>
      <c r="L499" t="n">
        <v>2120.96</v>
      </c>
      <c r="M499" t="n">
        <v>240</v>
      </c>
      <c r="N499" t="n">
        <v>28.28</v>
      </c>
      <c r="O499" t="n">
        <v>963.51</v>
      </c>
      <c r="P499" t="n">
        <v>506.26</v>
      </c>
      <c r="Q499">
        <f>ROUND(L499*M499*N499/1000+O499+P499,2)</f>
        <v/>
      </c>
      <c r="R499" t="inlineStr">
        <is>
          <t>No</t>
        </is>
      </c>
      <c r="S499">
        <f>IF(OR(E499="",D499=""),"",MAX(0,E499-D499))</f>
        <v/>
      </c>
      <c r="T499" t="inlineStr">
        <is>
          <t>No</t>
        </is>
      </c>
      <c r="U499" t="n">
        <v>2</v>
      </c>
      <c r="V499" t="inlineStr">
        <is>
          <t>Paid</t>
        </is>
      </c>
      <c r="W499" t="n">
        <v>4</v>
      </c>
      <c r="X499" t="inlineStr">
        <is>
          <t>Weather</t>
        </is>
      </c>
    </row>
    <row r="500">
      <c r="A500" t="inlineStr">
        <is>
          <t>ORD-2026-00499</t>
        </is>
      </c>
      <c r="B500" t="inlineStr">
        <is>
          <t>CUST-0121</t>
        </is>
      </c>
      <c r="C500" s="3" t="n">
        <v>46073</v>
      </c>
      <c r="D500" s="3" t="n">
        <v>46075</v>
      </c>
      <c r="E500" s="3" t="n">
        <v>46075</v>
      </c>
      <c r="F500" t="inlineStr">
        <is>
          <t>Chennai</t>
        </is>
      </c>
      <c r="G500" t="inlineStr">
        <is>
          <t>Hyderabad</t>
        </is>
      </c>
      <c r="H500" t="inlineStr">
        <is>
          <t>FedEx</t>
        </is>
      </c>
      <c r="I500" t="inlineStr">
        <is>
          <t>Refrigerated Truck</t>
        </is>
      </c>
      <c r="J500" t="inlineStr">
        <is>
          <t>Critical</t>
        </is>
      </c>
      <c r="K500" t="inlineStr">
        <is>
          <t>Delivered</t>
        </is>
      </c>
      <c r="L500" t="n">
        <v>1027.09</v>
      </c>
      <c r="M500" t="n">
        <v>2001</v>
      </c>
      <c r="N500" t="n">
        <v>8.390000000000001</v>
      </c>
      <c r="O500" t="n">
        <v>1313.36</v>
      </c>
      <c r="P500" t="n">
        <v>390.2</v>
      </c>
      <c r="Q500">
        <f>ROUND(L500*M500*N500/1000+O500+P500,2)</f>
        <v/>
      </c>
      <c r="R500" t="inlineStr">
        <is>
          <t>Yes</t>
        </is>
      </c>
      <c r="S500">
        <f>IF(OR(E500="",D500=""),"",MAX(0,E500-D500))</f>
        <v/>
      </c>
      <c r="T500" t="inlineStr">
        <is>
          <t>Yes</t>
        </is>
      </c>
      <c r="U500" t="n">
        <v>69</v>
      </c>
      <c r="V500" t="inlineStr">
        <is>
          <t>COD</t>
        </is>
      </c>
      <c r="W500" t="n">
        <v>1</v>
      </c>
      <c r="X500" t="inlineStr">
        <is>
          <t>Weather</t>
        </is>
      </c>
    </row>
    <row r="501">
      <c r="A501" t="inlineStr">
        <is>
          <t>ORD-2026-00500</t>
        </is>
      </c>
      <c r="B501" t="inlineStr">
        <is>
          <t>CUST-0073</t>
        </is>
      </c>
      <c r="C501" s="3" t="n">
        <v>46191</v>
      </c>
      <c r="D501" s="3" t="n">
        <v>46199</v>
      </c>
      <c r="E501" s="3" t="n">
        <v>46199</v>
      </c>
      <c r="F501" t="inlineStr">
        <is>
          <t>Ahmedabad</t>
        </is>
      </c>
      <c r="G501" t="inlineStr">
        <is>
          <t>Delhi</t>
        </is>
      </c>
      <c r="H501" t="inlineStr">
        <is>
          <t>Delhivery</t>
        </is>
      </c>
      <c r="I501" t="inlineStr">
        <is>
          <t>Container</t>
        </is>
      </c>
      <c r="J501" t="inlineStr">
        <is>
          <t>High</t>
        </is>
      </c>
      <c r="K501" t="inlineStr">
        <is>
          <t>Delivered</t>
        </is>
      </c>
      <c r="L501" t="n">
        <v>1085.18</v>
      </c>
      <c r="M501" t="n">
        <v>1476</v>
      </c>
      <c r="N501" t="n">
        <v>58.36</v>
      </c>
      <c r="O501" t="n">
        <v>6782.03</v>
      </c>
      <c r="P501" t="n">
        <v>183.79</v>
      </c>
      <c r="Q501">
        <f>ROUND(L501*M501*N501/1000+O501+P501,2)</f>
        <v/>
      </c>
      <c r="R501" t="inlineStr">
        <is>
          <t>Yes</t>
        </is>
      </c>
      <c r="S501">
        <f>IF(OR(E501="",D501=""),"",MAX(0,E501-D501))</f>
        <v/>
      </c>
      <c r="T501" t="inlineStr">
        <is>
          <t>Yes</t>
        </is>
      </c>
      <c r="U501" t="n">
        <v>21</v>
      </c>
      <c r="V501" t="inlineStr">
        <is>
          <t>Pending</t>
        </is>
      </c>
      <c r="W501" t="n">
        <v>4</v>
      </c>
      <c r="X501" t="inlineStr">
        <is>
          <t>Damaged Package</t>
        </is>
      </c>
    </row>
    <row r="502">
      <c r="A502" t="inlineStr">
        <is>
          <t>ORD-2026-00501</t>
        </is>
      </c>
      <c r="B502" t="inlineStr">
        <is>
          <t>CUST-0129</t>
        </is>
      </c>
      <c r="C502" s="3" t="n">
        <v>46091</v>
      </c>
      <c r="D502" s="3" t="n">
        <v>46093</v>
      </c>
      <c r="E502" s="3" t="n">
        <v>46093</v>
      </c>
      <c r="F502" t="inlineStr">
        <is>
          <t>Chennai</t>
        </is>
      </c>
      <c r="G502" t="inlineStr">
        <is>
          <t>Delhi</t>
        </is>
      </c>
      <c r="H502" t="inlineStr">
        <is>
          <t>BlueDart</t>
        </is>
      </c>
      <c r="I502" t="inlineStr">
        <is>
          <t>Van</t>
        </is>
      </c>
      <c r="J502" t="inlineStr">
        <is>
          <t>Low</t>
        </is>
      </c>
      <c r="K502" t="inlineStr">
        <is>
          <t>Delivered</t>
        </is>
      </c>
      <c r="L502" t="n">
        <v>1999.65</v>
      </c>
      <c r="M502" t="n">
        <v>526</v>
      </c>
      <c r="N502" t="n">
        <v>26.52</v>
      </c>
      <c r="O502" t="n">
        <v>2116.15</v>
      </c>
      <c r="P502" t="n">
        <v>1325.01</v>
      </c>
      <c r="Q502">
        <f>ROUND(L502*M502*N502/1000+O502+P502,2)</f>
        <v/>
      </c>
      <c r="R502" t="inlineStr">
        <is>
          <t>Yes</t>
        </is>
      </c>
      <c r="S502">
        <f>IF(OR(E502="",D502=""),"",MAX(0,E502-D502))</f>
        <v/>
      </c>
      <c r="T502" t="inlineStr">
        <is>
          <t>Yes</t>
        </is>
      </c>
      <c r="U502" t="n">
        <v>20</v>
      </c>
      <c r="V502" t="inlineStr">
        <is>
          <t>COD</t>
        </is>
      </c>
      <c r="W502" t="n">
        <v>5</v>
      </c>
      <c r="X502" t="inlineStr">
        <is>
          <t>None</t>
        </is>
      </c>
    </row>
    <row r="503">
      <c r="A503" t="inlineStr">
        <is>
          <t>ORD-2026-00502</t>
        </is>
      </c>
      <c r="B503" t="inlineStr">
        <is>
          <t>CUST-0125</t>
        </is>
      </c>
      <c r="C503" s="3" t="n">
        <v>46219</v>
      </c>
      <c r="D503" s="3" t="n">
        <v>46223</v>
      </c>
      <c r="E503" s="3" t="n">
        <v>46223</v>
      </c>
      <c r="F503" t="inlineStr">
        <is>
          <t>Mumbai</t>
        </is>
      </c>
      <c r="G503" t="inlineStr">
        <is>
          <t>Chennai</t>
        </is>
      </c>
      <c r="H503" t="inlineStr">
        <is>
          <t>DHL</t>
        </is>
      </c>
      <c r="I503" t="inlineStr">
        <is>
          <t>Bike</t>
        </is>
      </c>
      <c r="J503" t="inlineStr">
        <is>
          <t>Normal</t>
        </is>
      </c>
      <c r="K503" t="inlineStr">
        <is>
          <t>Delivered</t>
        </is>
      </c>
      <c r="L503" t="n">
        <v>1074.45</v>
      </c>
      <c r="M503" t="n">
        <v>2450</v>
      </c>
      <c r="N503" t="n">
        <v>50.03</v>
      </c>
      <c r="O503" t="n">
        <v>7383.01</v>
      </c>
      <c r="P503" t="n">
        <v>448.41</v>
      </c>
      <c r="Q503">
        <f>ROUND(L503*M503*N503/1000+O503+P503,2)</f>
        <v/>
      </c>
      <c r="R503" t="inlineStr">
        <is>
          <t>Yes</t>
        </is>
      </c>
      <c r="S503">
        <f>IF(OR(E503="",D503=""),"",MAX(0,E503-D503))</f>
        <v/>
      </c>
      <c r="T503" t="inlineStr">
        <is>
          <t>Yes</t>
        </is>
      </c>
      <c r="U503" t="n">
        <v>32</v>
      </c>
      <c r="V503" t="inlineStr">
        <is>
          <t>COD</t>
        </is>
      </c>
      <c r="W503" t="n">
        <v>1</v>
      </c>
      <c r="X503" t="inlineStr">
        <is>
          <t>Customer Unavailable</t>
        </is>
      </c>
    </row>
    <row r="504">
      <c r="A504" t="inlineStr">
        <is>
          <t>ORD-2026-00503</t>
        </is>
      </c>
      <c r="B504" t="inlineStr">
        <is>
          <t>CUST-0219</t>
        </is>
      </c>
      <c r="C504" s="3" t="n">
        <v>46090</v>
      </c>
      <c r="D504" s="3" t="n">
        <v>46094</v>
      </c>
      <c r="E504" s="3" t="n">
        <v>46095</v>
      </c>
      <c r="F504" t="inlineStr">
        <is>
          <t>Kolkata</t>
        </is>
      </c>
      <c r="G504" t="inlineStr">
        <is>
          <t>Delhi</t>
        </is>
      </c>
      <c r="H504" t="inlineStr">
        <is>
          <t>DHL</t>
        </is>
      </c>
      <c r="I504" t="inlineStr">
        <is>
          <t>Van</t>
        </is>
      </c>
      <c r="J504" t="inlineStr">
        <is>
          <t>Normal</t>
        </is>
      </c>
      <c r="K504" t="inlineStr">
        <is>
          <t>Delivered</t>
        </is>
      </c>
      <c r="L504" t="n">
        <v>1185</v>
      </c>
      <c r="M504" t="n">
        <v>427</v>
      </c>
      <c r="N504" t="n">
        <v>47.97</v>
      </c>
      <c r="O504" t="n">
        <v>1459.75</v>
      </c>
      <c r="P504" t="n">
        <v>288.16</v>
      </c>
      <c r="Q504">
        <f>ROUND(L504*M504*N504/1000+O504+P504,2)</f>
        <v/>
      </c>
      <c r="R504" t="inlineStr">
        <is>
          <t>No</t>
        </is>
      </c>
      <c r="S504">
        <f>IF(OR(E504="",D504=""),"",MAX(0,E504-D504))</f>
        <v/>
      </c>
      <c r="T504" t="inlineStr">
        <is>
          <t>No</t>
        </is>
      </c>
      <c r="U504" t="n">
        <v>5</v>
      </c>
      <c r="V504" t="inlineStr">
        <is>
          <t>COD</t>
        </is>
      </c>
      <c r="W504" t="n">
        <v>2</v>
      </c>
      <c r="X504" t="inlineStr">
        <is>
          <t>Address Error</t>
        </is>
      </c>
    </row>
    <row r="505">
      <c r="A505" t="inlineStr">
        <is>
          <t>ORD-2026-00504</t>
        </is>
      </c>
      <c r="B505" t="inlineStr">
        <is>
          <t>CUST-0057</t>
        </is>
      </c>
      <c r="C505" s="3" t="n">
        <v>46132</v>
      </c>
      <c r="D505" s="3" t="n">
        <v>46133</v>
      </c>
      <c r="E505" s="3" t="n">
        <v>46134</v>
      </c>
      <c r="F505" t="inlineStr">
        <is>
          <t>Hyderabad</t>
        </is>
      </c>
      <c r="G505" t="inlineStr">
        <is>
          <t>Chennai</t>
        </is>
      </c>
      <c r="H505" t="inlineStr">
        <is>
          <t>Delhivery</t>
        </is>
      </c>
      <c r="I505" t="inlineStr">
        <is>
          <t>Van</t>
        </is>
      </c>
      <c r="J505" t="inlineStr">
        <is>
          <t>Critical</t>
        </is>
      </c>
      <c r="K505" t="inlineStr">
        <is>
          <t>Delivered</t>
        </is>
      </c>
      <c r="L505" t="n">
        <v>127.86</v>
      </c>
      <c r="M505" t="n">
        <v>1673</v>
      </c>
      <c r="N505" t="n">
        <v>37.92</v>
      </c>
      <c r="O505" t="n">
        <v>584.1</v>
      </c>
      <c r="P505" t="n">
        <v>1470.58</v>
      </c>
      <c r="Q505">
        <f>ROUND(L505*M505*N505/1000+O505+P505,2)</f>
        <v/>
      </c>
      <c r="R505" t="inlineStr">
        <is>
          <t>No</t>
        </is>
      </c>
      <c r="S505">
        <f>IF(OR(E505="",D505=""),"",MAX(0,E505-D505))</f>
        <v/>
      </c>
      <c r="T505" t="inlineStr">
        <is>
          <t>Yes</t>
        </is>
      </c>
      <c r="U505" t="n">
        <v>39</v>
      </c>
      <c r="V505" t="inlineStr">
        <is>
          <t>Paid</t>
        </is>
      </c>
      <c r="W505" t="n">
        <v>3</v>
      </c>
      <c r="X505" t="inlineStr">
        <is>
          <t>Vehicle Breakdown</t>
        </is>
      </c>
    </row>
    <row r="506">
      <c r="A506" t="inlineStr">
        <is>
          <t>ORD-2026-00505</t>
        </is>
      </c>
      <c r="B506" t="inlineStr">
        <is>
          <t>CUST-0055</t>
        </is>
      </c>
      <c r="C506" s="3" t="n">
        <v>46094</v>
      </c>
      <c r="D506" s="3" t="n">
        <v>46100</v>
      </c>
      <c r="E506" s="3" t="n">
        <v>46101</v>
      </c>
      <c r="F506" t="inlineStr">
        <is>
          <t>Pune</t>
        </is>
      </c>
      <c r="G506" t="inlineStr">
        <is>
          <t>Jaipur</t>
        </is>
      </c>
      <c r="H506" t="inlineStr">
        <is>
          <t>FedEx</t>
        </is>
      </c>
      <c r="I506" t="inlineStr">
        <is>
          <t>Bike</t>
        </is>
      </c>
      <c r="J506" t="inlineStr">
        <is>
          <t>Low</t>
        </is>
      </c>
      <c r="K506" t="inlineStr">
        <is>
          <t>Delivered</t>
        </is>
      </c>
      <c r="L506" t="n">
        <v>2237.82</v>
      </c>
      <c r="M506" t="n">
        <v>749</v>
      </c>
      <c r="N506" t="n">
        <v>10.33</v>
      </c>
      <c r="O506" t="n">
        <v>573.59</v>
      </c>
      <c r="P506" t="n">
        <v>1122.24</v>
      </c>
      <c r="Q506">
        <f>ROUND(L506*M506*N506/1000+O506+P506,2)</f>
        <v/>
      </c>
      <c r="R506" t="inlineStr">
        <is>
          <t>No</t>
        </is>
      </c>
      <c r="S506">
        <f>IF(OR(E506="",D506=""),"",MAX(0,E506-D506))</f>
        <v/>
      </c>
      <c r="T506" t="inlineStr">
        <is>
          <t>No</t>
        </is>
      </c>
      <c r="U506" t="n">
        <v>24</v>
      </c>
      <c r="V506" t="inlineStr">
        <is>
          <t>COD</t>
        </is>
      </c>
      <c r="W506" t="n">
        <v>4</v>
      </c>
      <c r="X506" t="inlineStr">
        <is>
          <t>Vehicle Breakdown</t>
        </is>
      </c>
    </row>
    <row r="507">
      <c r="A507" t="inlineStr">
        <is>
          <t>ORD-2026-00506</t>
        </is>
      </c>
      <c r="B507" t="inlineStr">
        <is>
          <t>CUST-0200</t>
        </is>
      </c>
      <c r="C507" s="3" t="n">
        <v>46108</v>
      </c>
      <c r="D507" s="3" t="n">
        <v>46113</v>
      </c>
      <c r="E507" s="3" t="n">
        <v>46113</v>
      </c>
      <c r="F507" t="inlineStr">
        <is>
          <t>Kolkata</t>
        </is>
      </c>
      <c r="G507" t="inlineStr">
        <is>
          <t>Surat</t>
        </is>
      </c>
      <c r="H507" t="inlineStr">
        <is>
          <t>DTDC</t>
        </is>
      </c>
      <c r="I507" t="inlineStr">
        <is>
          <t>Refrigerated Truck</t>
        </is>
      </c>
      <c r="J507" t="inlineStr">
        <is>
          <t>Normal</t>
        </is>
      </c>
      <c r="K507" t="inlineStr">
        <is>
          <t>Delivered</t>
        </is>
      </c>
      <c r="L507" t="n">
        <v>1707.56</v>
      </c>
      <c r="M507" t="n">
        <v>538</v>
      </c>
      <c r="N507" t="n">
        <v>26.88</v>
      </c>
      <c r="O507" t="n">
        <v>1839.13</v>
      </c>
      <c r="P507" t="n">
        <v>554.85</v>
      </c>
      <c r="Q507">
        <f>ROUND(L507*M507*N507/1000+O507+P507,2)</f>
        <v/>
      </c>
      <c r="R507" t="inlineStr">
        <is>
          <t>Yes</t>
        </is>
      </c>
      <c r="S507">
        <f>IF(OR(E507="",D507=""),"",MAX(0,E507-D507))</f>
        <v/>
      </c>
      <c r="T507" t="inlineStr">
        <is>
          <t>No</t>
        </is>
      </c>
      <c r="U507" t="n">
        <v>27</v>
      </c>
      <c r="V507" t="inlineStr">
        <is>
          <t>Failed</t>
        </is>
      </c>
      <c r="W507" t="n">
        <v>1</v>
      </c>
      <c r="X507" t="inlineStr">
        <is>
          <t>None</t>
        </is>
      </c>
    </row>
    <row r="508">
      <c r="A508" t="inlineStr">
        <is>
          <t>ORD-2026-00507</t>
        </is>
      </c>
      <c r="B508" t="inlineStr">
        <is>
          <t>CUST-0242</t>
        </is>
      </c>
      <c r="C508" s="3" t="n">
        <v>46056</v>
      </c>
      <c r="D508" s="3" t="n">
        <v>46058</v>
      </c>
      <c r="E508" s="3" t="n">
        <v>46058</v>
      </c>
      <c r="F508" t="inlineStr">
        <is>
          <t>Surat</t>
        </is>
      </c>
      <c r="G508" t="inlineStr">
        <is>
          <t>Kolkata</t>
        </is>
      </c>
      <c r="H508" t="inlineStr">
        <is>
          <t>FedEx</t>
        </is>
      </c>
      <c r="I508" t="inlineStr">
        <is>
          <t>Refrigerated Truck</t>
        </is>
      </c>
      <c r="J508" t="inlineStr">
        <is>
          <t>Critical</t>
        </is>
      </c>
      <c r="K508" t="inlineStr">
        <is>
          <t>Delivered</t>
        </is>
      </c>
      <c r="L508" t="n">
        <v>2210.16</v>
      </c>
      <c r="M508" t="n">
        <v>785</v>
      </c>
      <c r="N508" t="n">
        <v>19</v>
      </c>
      <c r="O508" t="n">
        <v>1870.61</v>
      </c>
      <c r="P508" t="n">
        <v>165.98</v>
      </c>
      <c r="Q508">
        <f>ROUND(L508*M508*N508/1000+O508+P508,2)</f>
        <v/>
      </c>
      <c r="R508" t="inlineStr">
        <is>
          <t>Yes</t>
        </is>
      </c>
      <c r="S508">
        <f>IF(OR(E508="",D508=""),"",MAX(0,E508-D508))</f>
        <v/>
      </c>
      <c r="T508" t="inlineStr">
        <is>
          <t>Yes</t>
        </is>
      </c>
      <c r="U508" t="n">
        <v>69</v>
      </c>
      <c r="V508" t="inlineStr">
        <is>
          <t>Pending</t>
        </is>
      </c>
      <c r="W508" t="n">
        <v>1</v>
      </c>
      <c r="X508" t="inlineStr">
        <is>
          <t>Address Error</t>
        </is>
      </c>
    </row>
    <row r="509">
      <c r="A509" t="inlineStr">
        <is>
          <t>ORD-2026-00508</t>
        </is>
      </c>
      <c r="B509" t="inlineStr">
        <is>
          <t>CUST-0184</t>
        </is>
      </c>
      <c r="C509" s="3" t="n">
        <v>46072</v>
      </c>
      <c r="D509" s="3" t="n">
        <v>46079</v>
      </c>
      <c r="E509" s="3" t="n">
        <v>46080</v>
      </c>
      <c r="F509" t="inlineStr">
        <is>
          <t>Mumbai</t>
        </is>
      </c>
      <c r="G509" t="inlineStr">
        <is>
          <t>Chennai</t>
        </is>
      </c>
      <c r="H509" t="inlineStr">
        <is>
          <t>BlueDart</t>
        </is>
      </c>
      <c r="I509" t="inlineStr">
        <is>
          <t>Container</t>
        </is>
      </c>
      <c r="J509" t="inlineStr">
        <is>
          <t>Critical</t>
        </is>
      </c>
      <c r="K509" t="inlineStr">
        <is>
          <t>Delivered</t>
        </is>
      </c>
      <c r="L509" t="n">
        <v>2192.75</v>
      </c>
      <c r="M509" t="n">
        <v>2300</v>
      </c>
      <c r="N509" t="n">
        <v>63.58</v>
      </c>
      <c r="O509" t="n">
        <v>26837.12</v>
      </c>
      <c r="P509" t="n">
        <v>683.75</v>
      </c>
      <c r="Q509">
        <f>ROUND(L509*M509*N509/1000+O509+P509,2)</f>
        <v/>
      </c>
      <c r="R509" t="inlineStr">
        <is>
          <t>No</t>
        </is>
      </c>
      <c r="S509">
        <f>IF(OR(E509="",D509=""),"",MAX(0,E509-D509))</f>
        <v/>
      </c>
      <c r="T509" t="inlineStr">
        <is>
          <t>Yes</t>
        </is>
      </c>
      <c r="U509" t="n">
        <v>22</v>
      </c>
      <c r="V509" t="inlineStr">
        <is>
          <t>COD</t>
        </is>
      </c>
      <c r="W509" t="n">
        <v>2</v>
      </c>
      <c r="X509" t="inlineStr">
        <is>
          <t>Vehicle Breakdown</t>
        </is>
      </c>
    </row>
    <row r="510">
      <c r="A510" t="inlineStr">
        <is>
          <t>ORD-2026-00509</t>
        </is>
      </c>
      <c r="B510" t="inlineStr">
        <is>
          <t>CUST-0020</t>
        </is>
      </c>
      <c r="C510" s="3" t="n">
        <v>46034</v>
      </c>
      <c r="D510" s="3" t="n">
        <v>46035</v>
      </c>
      <c r="E510" s="3" t="n">
        <v>46037</v>
      </c>
      <c r="F510" t="inlineStr">
        <is>
          <t>Delhi</t>
        </is>
      </c>
      <c r="G510" t="inlineStr">
        <is>
          <t>Jaipur</t>
        </is>
      </c>
      <c r="H510" t="inlineStr">
        <is>
          <t>Aramex</t>
        </is>
      </c>
      <c r="I510" t="inlineStr">
        <is>
          <t>Bike</t>
        </is>
      </c>
      <c r="J510" t="inlineStr">
        <is>
          <t>Critical</t>
        </is>
      </c>
      <c r="K510" t="inlineStr">
        <is>
          <t>Delivered</t>
        </is>
      </c>
      <c r="L510" t="n">
        <v>1851.92</v>
      </c>
      <c r="M510" t="n">
        <v>1633</v>
      </c>
      <c r="N510" t="n">
        <v>36.22</v>
      </c>
      <c r="O510" t="n">
        <v>6785.56</v>
      </c>
      <c r="P510" t="n">
        <v>779.96</v>
      </c>
      <c r="Q510">
        <f>ROUND(L510*M510*N510/1000+O510+P510,2)</f>
        <v/>
      </c>
      <c r="R510" t="inlineStr">
        <is>
          <t>No</t>
        </is>
      </c>
      <c r="S510">
        <f>IF(OR(E510="",D510=""),"",MAX(0,E510-D510))</f>
        <v/>
      </c>
      <c r="T510" t="inlineStr">
        <is>
          <t>No</t>
        </is>
      </c>
      <c r="U510" t="n">
        <v>52</v>
      </c>
      <c r="V510" t="inlineStr">
        <is>
          <t>COD</t>
        </is>
      </c>
      <c r="W510" t="n">
        <v>2</v>
      </c>
      <c r="X510" t="inlineStr">
        <is>
          <t>Address Error</t>
        </is>
      </c>
    </row>
    <row r="511">
      <c r="A511" t="inlineStr">
        <is>
          <t>ORD-2026-00510</t>
        </is>
      </c>
      <c r="B511" t="inlineStr">
        <is>
          <t>CUST-0078</t>
        </is>
      </c>
      <c r="C511" s="3" t="n">
        <v>46023</v>
      </c>
      <c r="D511" s="3" t="n">
        <v>46026</v>
      </c>
      <c r="E511" s="3" t="n">
        <v>46027</v>
      </c>
      <c r="F511" t="inlineStr">
        <is>
          <t>Bengaluru</t>
        </is>
      </c>
      <c r="G511" t="inlineStr">
        <is>
          <t>Pune</t>
        </is>
      </c>
      <c r="H511" t="inlineStr">
        <is>
          <t>Maersk</t>
        </is>
      </c>
      <c r="I511" t="inlineStr">
        <is>
          <t>Refrigerated Truck</t>
        </is>
      </c>
      <c r="J511" t="inlineStr">
        <is>
          <t>Low</t>
        </is>
      </c>
      <c r="K511" t="inlineStr">
        <is>
          <t>Delivered</t>
        </is>
      </c>
      <c r="L511" t="n">
        <v>22.65</v>
      </c>
      <c r="M511" t="n">
        <v>2105</v>
      </c>
      <c r="N511" t="n">
        <v>33.96</v>
      </c>
      <c r="O511" t="n">
        <v>117.33</v>
      </c>
      <c r="P511" t="n">
        <v>797.11</v>
      </c>
      <c r="Q511">
        <f>ROUND(L511*M511*N511/1000+O511+P511,2)</f>
        <v/>
      </c>
      <c r="R511" t="inlineStr">
        <is>
          <t>No</t>
        </is>
      </c>
      <c r="S511">
        <f>IF(OR(E511="",D511=""),"",MAX(0,E511-D511))</f>
        <v/>
      </c>
      <c r="T511" t="inlineStr">
        <is>
          <t>Yes</t>
        </is>
      </c>
      <c r="U511" t="n">
        <v>29</v>
      </c>
      <c r="V511" t="inlineStr">
        <is>
          <t>Paid</t>
        </is>
      </c>
      <c r="W511" t="n">
        <v>5</v>
      </c>
      <c r="X511" t="inlineStr">
        <is>
          <t>Address Error</t>
        </is>
      </c>
    </row>
    <row r="512">
      <c r="A512" t="inlineStr">
        <is>
          <t>ORD-2026-00511</t>
        </is>
      </c>
      <c r="B512" t="inlineStr">
        <is>
          <t>CUST-0064</t>
        </is>
      </c>
      <c r="C512" s="3" t="n">
        <v>46097</v>
      </c>
      <c r="D512" s="3" t="n">
        <v>46098</v>
      </c>
      <c r="E512" s="3" t="n">
        <v>46099</v>
      </c>
      <c r="F512" t="inlineStr">
        <is>
          <t>Bengaluru</t>
        </is>
      </c>
      <c r="G512" t="inlineStr">
        <is>
          <t>Surat</t>
        </is>
      </c>
      <c r="H512" t="inlineStr">
        <is>
          <t>BlueDart</t>
        </is>
      </c>
      <c r="I512" t="inlineStr">
        <is>
          <t>Van</t>
        </is>
      </c>
      <c r="J512" t="inlineStr">
        <is>
          <t>High</t>
        </is>
      </c>
      <c r="K512" t="inlineStr">
        <is>
          <t>Delivered</t>
        </is>
      </c>
      <c r="L512" t="n">
        <v>694.75</v>
      </c>
      <c r="M512" t="n">
        <v>549</v>
      </c>
      <c r="N512" t="n">
        <v>23.41</v>
      </c>
      <c r="O512" t="n">
        <v>691.4400000000001</v>
      </c>
      <c r="P512" t="n">
        <v>970.77</v>
      </c>
      <c r="Q512">
        <f>ROUND(L512*M512*N512/1000+O512+P512,2)</f>
        <v/>
      </c>
      <c r="R512" t="inlineStr">
        <is>
          <t>No</t>
        </is>
      </c>
      <c r="S512">
        <f>IF(OR(E512="",D512=""),"",MAX(0,E512-D512))</f>
        <v/>
      </c>
      <c r="T512" t="inlineStr">
        <is>
          <t>No</t>
        </is>
      </c>
      <c r="U512" t="n">
        <v>42</v>
      </c>
      <c r="V512" t="inlineStr">
        <is>
          <t>Paid</t>
        </is>
      </c>
      <c r="W512" t="n">
        <v>5</v>
      </c>
      <c r="X512" t="inlineStr">
        <is>
          <t>Vehicle Breakdown</t>
        </is>
      </c>
    </row>
    <row r="513">
      <c r="A513" t="inlineStr">
        <is>
          <t>ORD-2026-00512</t>
        </is>
      </c>
      <c r="B513" t="inlineStr">
        <is>
          <t>CUST-0188</t>
        </is>
      </c>
      <c r="C513" s="3" t="n">
        <v>46207</v>
      </c>
      <c r="D513" s="3" t="n">
        <v>46210</v>
      </c>
      <c r="E513" s="3" t="n">
        <v>46210</v>
      </c>
      <c r="F513" t="inlineStr">
        <is>
          <t>Pune</t>
        </is>
      </c>
      <c r="G513" t="inlineStr">
        <is>
          <t>Delhi</t>
        </is>
      </c>
      <c r="H513" t="inlineStr">
        <is>
          <t>FedEx</t>
        </is>
      </c>
      <c r="I513" t="inlineStr">
        <is>
          <t>Van</t>
        </is>
      </c>
      <c r="J513" t="inlineStr">
        <is>
          <t>Low</t>
        </is>
      </c>
      <c r="K513" t="inlineStr">
        <is>
          <t>Delivered</t>
        </is>
      </c>
      <c r="L513" t="n">
        <v>811.9299999999999</v>
      </c>
      <c r="M513" t="n">
        <v>239</v>
      </c>
      <c r="N513" t="n">
        <v>43.68</v>
      </c>
      <c r="O513" t="n">
        <v>259.58</v>
      </c>
      <c r="P513" t="n">
        <v>546.12</v>
      </c>
      <c r="Q513">
        <f>ROUND(L513*M513*N513/1000+O513+P513,2)</f>
        <v/>
      </c>
      <c r="R513" t="inlineStr">
        <is>
          <t>Yes</t>
        </is>
      </c>
      <c r="S513">
        <f>IF(OR(E513="",D513=""),"",MAX(0,E513-D513))</f>
        <v/>
      </c>
      <c r="T513" t="inlineStr">
        <is>
          <t>No</t>
        </is>
      </c>
      <c r="U513" t="n">
        <v>33</v>
      </c>
      <c r="V513" t="inlineStr">
        <is>
          <t>Pending</t>
        </is>
      </c>
      <c r="W513" t="n">
        <v>4</v>
      </c>
      <c r="X513" t="inlineStr">
        <is>
          <t>Address Error</t>
        </is>
      </c>
    </row>
    <row r="514">
      <c r="A514" t="inlineStr">
        <is>
          <t>ORD-2026-00513</t>
        </is>
      </c>
      <c r="B514" t="inlineStr">
        <is>
          <t>CUST-0095</t>
        </is>
      </c>
      <c r="C514" s="3" t="n">
        <v>46106</v>
      </c>
      <c r="D514" s="3" t="n">
        <v>46111</v>
      </c>
      <c r="E514" s="3" t="n">
        <v>46111</v>
      </c>
      <c r="F514" t="inlineStr">
        <is>
          <t>Delhi</t>
        </is>
      </c>
      <c r="G514" t="inlineStr">
        <is>
          <t>Jaipur</t>
        </is>
      </c>
      <c r="H514" t="inlineStr">
        <is>
          <t>BlueDart</t>
        </is>
      </c>
      <c r="I514" t="inlineStr">
        <is>
          <t>Container</t>
        </is>
      </c>
      <c r="J514" t="inlineStr">
        <is>
          <t>Normal</t>
        </is>
      </c>
      <c r="K514" t="inlineStr">
        <is>
          <t>Delivered</t>
        </is>
      </c>
      <c r="L514" t="n">
        <v>2145.62</v>
      </c>
      <c r="M514" t="n">
        <v>1624</v>
      </c>
      <c r="N514" t="n">
        <v>16.87</v>
      </c>
      <c r="O514" t="n">
        <v>2580.79</v>
      </c>
      <c r="P514" t="n">
        <v>1094.9</v>
      </c>
      <c r="Q514">
        <f>ROUND(L514*M514*N514/1000+O514+P514,2)</f>
        <v/>
      </c>
      <c r="R514" t="inlineStr">
        <is>
          <t>Yes</t>
        </is>
      </c>
      <c r="S514">
        <f>IF(OR(E514="",D514=""),"",MAX(0,E514-D514))</f>
        <v/>
      </c>
      <c r="T514" t="inlineStr">
        <is>
          <t>No</t>
        </is>
      </c>
      <c r="U514" t="n">
        <v>24</v>
      </c>
      <c r="V514" t="inlineStr">
        <is>
          <t>Pending</t>
        </is>
      </c>
      <c r="W514" t="n">
        <v>2</v>
      </c>
      <c r="X514" t="inlineStr">
        <is>
          <t>Customs</t>
        </is>
      </c>
    </row>
    <row r="515">
      <c r="A515" t="inlineStr">
        <is>
          <t>ORD-2026-00514</t>
        </is>
      </c>
      <c r="B515" t="inlineStr">
        <is>
          <t>CUST-0110</t>
        </is>
      </c>
      <c r="C515" s="3" t="n">
        <v>46148</v>
      </c>
      <c r="D515" s="3" t="n">
        <v>46151</v>
      </c>
      <c r="E515" s="3" t="n"/>
      <c r="F515" t="inlineStr">
        <is>
          <t>Bengaluru</t>
        </is>
      </c>
      <c r="G515" t="inlineStr">
        <is>
          <t>Jaipur</t>
        </is>
      </c>
      <c r="H515" t="inlineStr">
        <is>
          <t>Maersk</t>
        </is>
      </c>
      <c r="I515" t="inlineStr">
        <is>
          <t>Container</t>
        </is>
      </c>
      <c r="J515" t="inlineStr">
        <is>
          <t>Low</t>
        </is>
      </c>
      <c r="K515" t="inlineStr">
        <is>
          <t>Booked</t>
        </is>
      </c>
      <c r="L515" t="n">
        <v>2213.19</v>
      </c>
      <c r="M515" t="n">
        <v>1619</v>
      </c>
      <c r="N515" t="n">
        <v>47.18</v>
      </c>
      <c r="O515" t="n">
        <v>6976.98</v>
      </c>
      <c r="P515" t="n">
        <v>232.41</v>
      </c>
      <c r="Q515">
        <f>ROUND(L515*M515*N515/1000+O515+P515,2)</f>
        <v/>
      </c>
      <c r="R515" t="inlineStr">
        <is>
          <t>No</t>
        </is>
      </c>
      <c r="S515">
        <f>IF(OR(E515="",D515=""),"",MAX(0,E515-D515))</f>
        <v/>
      </c>
      <c r="T515" t="inlineStr">
        <is>
          <t>Yes</t>
        </is>
      </c>
      <c r="U515" t="n">
        <v>2</v>
      </c>
      <c r="V515" t="inlineStr">
        <is>
          <t>Paid</t>
        </is>
      </c>
      <c r="W515" t="n">
        <v>4</v>
      </c>
      <c r="X515" t="inlineStr">
        <is>
          <t>Weather</t>
        </is>
      </c>
    </row>
    <row r="516">
      <c r="A516" t="inlineStr">
        <is>
          <t>ORD-2026-00515</t>
        </is>
      </c>
      <c r="B516" t="inlineStr">
        <is>
          <t>CUST-0241</t>
        </is>
      </c>
      <c r="C516" s="3" t="n">
        <v>46028</v>
      </c>
      <c r="D516" s="3" t="n">
        <v>46030</v>
      </c>
      <c r="E516" s="3" t="n">
        <v>46032</v>
      </c>
      <c r="F516" t="inlineStr">
        <is>
          <t>Kolkata</t>
        </is>
      </c>
      <c r="G516" t="inlineStr">
        <is>
          <t>Ahmedabad</t>
        </is>
      </c>
      <c r="H516" t="inlineStr">
        <is>
          <t>Aramex</t>
        </is>
      </c>
      <c r="I516" t="inlineStr">
        <is>
          <t>Van</t>
        </is>
      </c>
      <c r="J516" t="inlineStr">
        <is>
          <t>Low</t>
        </is>
      </c>
      <c r="K516" t="inlineStr">
        <is>
          <t>Delivered</t>
        </is>
      </c>
      <c r="L516" t="n">
        <v>1611.38</v>
      </c>
      <c r="M516" t="n">
        <v>184</v>
      </c>
      <c r="N516" t="n">
        <v>15.53</v>
      </c>
      <c r="O516" t="n">
        <v>350.9</v>
      </c>
      <c r="P516" t="n">
        <v>416.13</v>
      </c>
      <c r="Q516">
        <f>ROUND(L516*M516*N516/1000+O516+P516,2)</f>
        <v/>
      </c>
      <c r="R516" t="inlineStr">
        <is>
          <t>No</t>
        </is>
      </c>
      <c r="S516">
        <f>IF(OR(E516="",D516=""),"",MAX(0,E516-D516))</f>
        <v/>
      </c>
      <c r="T516" t="inlineStr">
        <is>
          <t>No</t>
        </is>
      </c>
      <c r="U516" t="n">
        <v>11</v>
      </c>
      <c r="V516" t="inlineStr">
        <is>
          <t>Pending</t>
        </is>
      </c>
      <c r="W516" t="n">
        <v>2</v>
      </c>
      <c r="X516" t="inlineStr">
        <is>
          <t>Weather</t>
        </is>
      </c>
    </row>
    <row r="517">
      <c r="A517" t="inlineStr">
        <is>
          <t>ORD-2026-00516</t>
        </is>
      </c>
      <c r="B517" t="inlineStr">
        <is>
          <t>CUST-0032</t>
        </is>
      </c>
      <c r="C517" s="3" t="n">
        <v>46217</v>
      </c>
      <c r="D517" s="3" t="n">
        <v>46225</v>
      </c>
      <c r="E517" s="3" t="n">
        <v>46227</v>
      </c>
      <c r="F517" t="inlineStr">
        <is>
          <t>Ahmedabad</t>
        </is>
      </c>
      <c r="G517" t="inlineStr">
        <is>
          <t>Ahmedabad</t>
        </is>
      </c>
      <c r="H517" t="inlineStr">
        <is>
          <t>BlueDart</t>
        </is>
      </c>
      <c r="I517" t="inlineStr">
        <is>
          <t>Bike</t>
        </is>
      </c>
      <c r="J517" t="inlineStr">
        <is>
          <t>High</t>
        </is>
      </c>
      <c r="K517" t="inlineStr">
        <is>
          <t>Delivered</t>
        </is>
      </c>
      <c r="L517" t="n">
        <v>1197.53</v>
      </c>
      <c r="M517" t="n">
        <v>1003</v>
      </c>
      <c r="N517" t="n">
        <v>11.18</v>
      </c>
      <c r="O517" t="n">
        <v>960.4400000000001</v>
      </c>
      <c r="P517" t="n">
        <v>948.6799999999999</v>
      </c>
      <c r="Q517">
        <f>ROUND(L517*M517*N517/1000+O517+P517,2)</f>
        <v/>
      </c>
      <c r="R517" t="inlineStr">
        <is>
          <t>No</t>
        </is>
      </c>
      <c r="S517">
        <f>IF(OR(E517="",D517=""),"",MAX(0,E517-D517))</f>
        <v/>
      </c>
      <c r="T517" t="inlineStr">
        <is>
          <t>Yes</t>
        </is>
      </c>
      <c r="U517" t="n">
        <v>66</v>
      </c>
      <c r="V517" t="inlineStr">
        <is>
          <t>Failed</t>
        </is>
      </c>
      <c r="W517" t="n">
        <v>2</v>
      </c>
      <c r="X517" t="inlineStr">
        <is>
          <t>None</t>
        </is>
      </c>
    </row>
    <row r="518">
      <c r="A518" t="inlineStr">
        <is>
          <t>ORD-2026-00517</t>
        </is>
      </c>
      <c r="B518" t="inlineStr">
        <is>
          <t>CUST-0227</t>
        </is>
      </c>
      <c r="C518" s="3" t="n">
        <v>46080</v>
      </c>
      <c r="D518" s="3" t="n">
        <v>46081</v>
      </c>
      <c r="E518" s="3" t="n">
        <v>46081</v>
      </c>
      <c r="F518" t="inlineStr">
        <is>
          <t>Mumbai</t>
        </is>
      </c>
      <c r="G518" t="inlineStr">
        <is>
          <t>Jaipur</t>
        </is>
      </c>
      <c r="H518" t="inlineStr">
        <is>
          <t>DHL</t>
        </is>
      </c>
      <c r="I518" t="inlineStr">
        <is>
          <t>Van</t>
        </is>
      </c>
      <c r="J518" t="inlineStr">
        <is>
          <t>Normal</t>
        </is>
      </c>
      <c r="K518" t="inlineStr">
        <is>
          <t>Delivered</t>
        </is>
      </c>
      <c r="L518" t="n">
        <v>883.6</v>
      </c>
      <c r="M518" t="n">
        <v>1179</v>
      </c>
      <c r="N518" t="n">
        <v>20.88</v>
      </c>
      <c r="O518" t="n">
        <v>1799.75</v>
      </c>
      <c r="P518" t="n">
        <v>589.42</v>
      </c>
      <c r="Q518">
        <f>ROUND(L518*M518*N518/1000+O518+P518,2)</f>
        <v/>
      </c>
      <c r="R518" t="inlineStr">
        <is>
          <t>Yes</t>
        </is>
      </c>
      <c r="S518">
        <f>IF(OR(E518="",D518=""),"",MAX(0,E518-D518))</f>
        <v/>
      </c>
      <c r="T518" t="inlineStr">
        <is>
          <t>Yes</t>
        </is>
      </c>
      <c r="U518" t="n">
        <v>37</v>
      </c>
      <c r="V518" t="inlineStr">
        <is>
          <t>COD</t>
        </is>
      </c>
      <c r="W518" t="n">
        <v>1</v>
      </c>
      <c r="X518" t="inlineStr">
        <is>
          <t>Customs</t>
        </is>
      </c>
    </row>
    <row r="519">
      <c r="A519" t="inlineStr">
        <is>
          <t>ORD-2026-00518</t>
        </is>
      </c>
      <c r="B519" t="inlineStr">
        <is>
          <t>CUST-0154</t>
        </is>
      </c>
      <c r="C519" s="3" t="n">
        <v>46108</v>
      </c>
      <c r="D519" s="3" t="n">
        <v>46110</v>
      </c>
      <c r="E519" s="3" t="n">
        <v>46110</v>
      </c>
      <c r="F519" t="inlineStr">
        <is>
          <t>Delhi</t>
        </is>
      </c>
      <c r="G519" t="inlineStr">
        <is>
          <t>Chennai</t>
        </is>
      </c>
      <c r="H519" t="inlineStr">
        <is>
          <t>DHL</t>
        </is>
      </c>
      <c r="I519" t="inlineStr">
        <is>
          <t>Refrigerated Truck</t>
        </is>
      </c>
      <c r="J519" t="inlineStr">
        <is>
          <t>High</t>
        </is>
      </c>
      <c r="K519" t="inlineStr">
        <is>
          <t>Delivered</t>
        </is>
      </c>
      <c r="L519" t="n">
        <v>212.47</v>
      </c>
      <c r="M519" t="n">
        <v>182</v>
      </c>
      <c r="N519" t="n">
        <v>42.46</v>
      </c>
      <c r="O519" t="n">
        <v>66.8</v>
      </c>
      <c r="P519" t="n">
        <v>805.11</v>
      </c>
      <c r="Q519">
        <f>ROUND(L519*M519*N519/1000+O519+P519,2)</f>
        <v/>
      </c>
      <c r="R519" t="inlineStr">
        <is>
          <t>Yes</t>
        </is>
      </c>
      <c r="S519">
        <f>IF(OR(E519="",D519=""),"",MAX(0,E519-D519))</f>
        <v/>
      </c>
      <c r="T519" t="inlineStr">
        <is>
          <t>No</t>
        </is>
      </c>
      <c r="U519" t="n">
        <v>14</v>
      </c>
      <c r="V519" t="inlineStr">
        <is>
          <t>COD</t>
        </is>
      </c>
      <c r="W519" t="n">
        <v>4</v>
      </c>
      <c r="X519" t="inlineStr">
        <is>
          <t>Damaged Package</t>
        </is>
      </c>
    </row>
    <row r="520">
      <c r="A520" t="inlineStr">
        <is>
          <t>ORD-2026-00519</t>
        </is>
      </c>
      <c r="B520" t="inlineStr">
        <is>
          <t>CUST-0038</t>
        </is>
      </c>
      <c r="C520" s="3" t="n">
        <v>46117</v>
      </c>
      <c r="D520" s="3" t="n">
        <v>46122</v>
      </c>
      <c r="E520" s="3" t="n">
        <v>46124</v>
      </c>
      <c r="F520" t="inlineStr">
        <is>
          <t>Hyderabad</t>
        </is>
      </c>
      <c r="G520" t="inlineStr">
        <is>
          <t>Delhi</t>
        </is>
      </c>
      <c r="H520" t="inlineStr">
        <is>
          <t>Delhivery</t>
        </is>
      </c>
      <c r="I520" t="inlineStr">
        <is>
          <t>Container</t>
        </is>
      </c>
      <c r="J520" t="inlineStr">
        <is>
          <t>Critical</t>
        </is>
      </c>
      <c r="K520" t="inlineStr">
        <is>
          <t>Delivered</t>
        </is>
      </c>
      <c r="L520" t="n">
        <v>191.39</v>
      </c>
      <c r="M520" t="n">
        <v>13</v>
      </c>
      <c r="N520" t="n">
        <v>57.12</v>
      </c>
      <c r="O520" t="n">
        <v>12.6</v>
      </c>
      <c r="P520" t="n">
        <v>1171.12</v>
      </c>
      <c r="Q520">
        <f>ROUND(L520*M520*N520/1000+O520+P520,2)</f>
        <v/>
      </c>
      <c r="R520" t="inlineStr">
        <is>
          <t>No</t>
        </is>
      </c>
      <c r="S520">
        <f>IF(OR(E520="",D520=""),"",MAX(0,E520-D520))</f>
        <v/>
      </c>
      <c r="T520" t="inlineStr">
        <is>
          <t>Yes</t>
        </is>
      </c>
      <c r="U520" t="n">
        <v>15</v>
      </c>
      <c r="V520" t="inlineStr">
        <is>
          <t>Failed</t>
        </is>
      </c>
      <c r="W520" t="n">
        <v>3</v>
      </c>
      <c r="X520" t="inlineStr">
        <is>
          <t>Address Error</t>
        </is>
      </c>
    </row>
    <row r="521">
      <c r="A521" t="inlineStr">
        <is>
          <t>ORD-2026-00520</t>
        </is>
      </c>
      <c r="B521" t="inlineStr">
        <is>
          <t>CUST-0155</t>
        </is>
      </c>
      <c r="C521" s="3" t="n">
        <v>46046</v>
      </c>
      <c r="D521" s="3" t="n">
        <v>46052</v>
      </c>
      <c r="E521" s="3" t="n">
        <v>46062</v>
      </c>
      <c r="F521" t="inlineStr">
        <is>
          <t>Hyderabad</t>
        </is>
      </c>
      <c r="G521" t="inlineStr">
        <is>
          <t>Delhi</t>
        </is>
      </c>
      <c r="H521" t="inlineStr">
        <is>
          <t>Aramex</t>
        </is>
      </c>
      <c r="I521" t="inlineStr">
        <is>
          <t>Truck</t>
        </is>
      </c>
      <c r="J521" t="inlineStr">
        <is>
          <t>Critical</t>
        </is>
      </c>
      <c r="K521" t="inlineStr">
        <is>
          <t>Delivered</t>
        </is>
      </c>
      <c r="L521" t="n">
        <v>962.85</v>
      </c>
      <c r="M521" t="n">
        <v>1312</v>
      </c>
      <c r="N521" t="n">
        <v>36.17</v>
      </c>
      <c r="O521" t="n">
        <v>2690.23</v>
      </c>
      <c r="P521" t="n">
        <v>1459.82</v>
      </c>
      <c r="Q521">
        <f>ROUND(L521*M521*N521/1000+O521+P521,2)</f>
        <v/>
      </c>
      <c r="R521" t="inlineStr">
        <is>
          <t>No</t>
        </is>
      </c>
      <c r="S521">
        <f>IF(OR(E521="",D521=""),"",MAX(0,E521-D521))</f>
        <v/>
      </c>
      <c r="T521" t="inlineStr">
        <is>
          <t>No</t>
        </is>
      </c>
      <c r="U521" t="n">
        <v>71</v>
      </c>
      <c r="V521" t="inlineStr">
        <is>
          <t>Failed</t>
        </is>
      </c>
      <c r="W521" t="n">
        <v>5</v>
      </c>
      <c r="X521" t="inlineStr">
        <is>
          <t>Customs</t>
        </is>
      </c>
    </row>
    <row r="522">
      <c r="A522" t="inlineStr">
        <is>
          <t>ORD-2026-00521</t>
        </is>
      </c>
      <c r="B522" t="inlineStr">
        <is>
          <t>CUST-0023</t>
        </is>
      </c>
      <c r="C522" s="3" t="n">
        <v>46149</v>
      </c>
      <c r="D522" s="3" t="n">
        <v>46153</v>
      </c>
      <c r="E522" s="3" t="n">
        <v>46153</v>
      </c>
      <c r="F522" t="inlineStr">
        <is>
          <t>Bengaluru</t>
        </is>
      </c>
      <c r="G522" t="inlineStr">
        <is>
          <t>Hyderabad</t>
        </is>
      </c>
      <c r="H522" t="inlineStr">
        <is>
          <t>BlueDart</t>
        </is>
      </c>
      <c r="I522" t="inlineStr">
        <is>
          <t>Truck</t>
        </is>
      </c>
      <c r="J522" t="inlineStr">
        <is>
          <t>Low</t>
        </is>
      </c>
      <c r="K522" t="inlineStr">
        <is>
          <t>Delivered</t>
        </is>
      </c>
      <c r="L522" t="n">
        <v>1054.89</v>
      </c>
      <c r="M522" t="n">
        <v>2371</v>
      </c>
      <c r="N522" t="n">
        <v>52.27</v>
      </c>
      <c r="O522" t="n">
        <v>10285.89</v>
      </c>
      <c r="P522" t="n">
        <v>344.61</v>
      </c>
      <c r="Q522">
        <f>ROUND(L522*M522*N522/1000+O522+P522,2)</f>
        <v/>
      </c>
      <c r="R522" t="inlineStr">
        <is>
          <t>Yes</t>
        </is>
      </c>
      <c r="S522">
        <f>IF(OR(E522="",D522=""),"",MAX(0,E522-D522))</f>
        <v/>
      </c>
      <c r="T522" t="inlineStr">
        <is>
          <t>No</t>
        </is>
      </c>
      <c r="U522" t="n">
        <v>72</v>
      </c>
      <c r="V522" t="inlineStr">
        <is>
          <t>Failed</t>
        </is>
      </c>
      <c r="W522" t="n">
        <v>2</v>
      </c>
      <c r="X522" t="inlineStr">
        <is>
          <t>None</t>
        </is>
      </c>
    </row>
    <row r="523">
      <c r="A523" t="inlineStr">
        <is>
          <t>ORD-2026-00522</t>
        </is>
      </c>
      <c r="B523" t="inlineStr">
        <is>
          <t>CUST-0249</t>
        </is>
      </c>
      <c r="C523" s="3" t="n">
        <v>46038</v>
      </c>
      <c r="D523" s="3" t="n">
        <v>46044</v>
      </c>
      <c r="E523" s="3" t="n">
        <v>46044</v>
      </c>
      <c r="F523" t="inlineStr">
        <is>
          <t>Chennai</t>
        </is>
      </c>
      <c r="G523" t="inlineStr">
        <is>
          <t>Bengaluru</t>
        </is>
      </c>
      <c r="H523" t="inlineStr">
        <is>
          <t>DHL</t>
        </is>
      </c>
      <c r="I523" t="inlineStr">
        <is>
          <t>Truck</t>
        </is>
      </c>
      <c r="J523" t="inlineStr">
        <is>
          <t>Low</t>
        </is>
      </c>
      <c r="K523" t="inlineStr">
        <is>
          <t>Delivered</t>
        </is>
      </c>
      <c r="L523" t="n">
        <v>1946.73</v>
      </c>
      <c r="M523" t="n">
        <v>575</v>
      </c>
      <c r="N523" t="n">
        <v>24.8</v>
      </c>
      <c r="O523" t="n">
        <v>1072.89</v>
      </c>
      <c r="P523" t="n">
        <v>1282.9</v>
      </c>
      <c r="Q523">
        <f>ROUND(L523*M523*N523/1000+O523+P523,2)</f>
        <v/>
      </c>
      <c r="R523" t="inlineStr">
        <is>
          <t>Yes</t>
        </is>
      </c>
      <c r="S523">
        <f>IF(OR(E523="",D523=""),"",MAX(0,E523-D523))</f>
        <v/>
      </c>
      <c r="T523" t="inlineStr">
        <is>
          <t>Yes</t>
        </is>
      </c>
      <c r="U523" t="n">
        <v>16</v>
      </c>
      <c r="V523" t="inlineStr">
        <is>
          <t>Pending</t>
        </is>
      </c>
      <c r="W523" t="n">
        <v>4</v>
      </c>
      <c r="X523" t="inlineStr">
        <is>
          <t>Damaged Package</t>
        </is>
      </c>
    </row>
    <row r="524">
      <c r="A524" t="inlineStr">
        <is>
          <t>ORD-2026-00523</t>
        </is>
      </c>
      <c r="B524" t="inlineStr">
        <is>
          <t>CUST-0038</t>
        </is>
      </c>
      <c r="C524" s="3" t="n">
        <v>46029</v>
      </c>
      <c r="D524" s="3" t="n">
        <v>46036</v>
      </c>
      <c r="E524" s="3" t="n">
        <v>46036</v>
      </c>
      <c r="F524" t="inlineStr">
        <is>
          <t>Hyderabad</t>
        </is>
      </c>
      <c r="G524" t="inlineStr">
        <is>
          <t>Delhi</t>
        </is>
      </c>
      <c r="H524" t="inlineStr">
        <is>
          <t>BlueDart</t>
        </is>
      </c>
      <c r="I524" t="inlineStr">
        <is>
          <t>Truck</t>
        </is>
      </c>
      <c r="J524" t="inlineStr">
        <is>
          <t>Low</t>
        </is>
      </c>
      <c r="K524" t="inlineStr">
        <is>
          <t>Delivered</t>
        </is>
      </c>
      <c r="L524" t="n">
        <v>1657.04</v>
      </c>
      <c r="M524" t="n">
        <v>307</v>
      </c>
      <c r="N524" t="n">
        <v>35.18</v>
      </c>
      <c r="O524" t="n">
        <v>1174.64</v>
      </c>
      <c r="P524" t="n">
        <v>254.1</v>
      </c>
      <c r="Q524">
        <f>ROUND(L524*M524*N524/1000+O524+P524,2)</f>
        <v/>
      </c>
      <c r="R524" t="inlineStr">
        <is>
          <t>Yes</t>
        </is>
      </c>
      <c r="S524">
        <f>IF(OR(E524="",D524=""),"",MAX(0,E524-D524))</f>
        <v/>
      </c>
      <c r="T524" t="inlineStr">
        <is>
          <t>Yes</t>
        </is>
      </c>
      <c r="U524" t="n">
        <v>73</v>
      </c>
      <c r="V524" t="inlineStr">
        <is>
          <t>Failed</t>
        </is>
      </c>
      <c r="W524" t="n">
        <v>2</v>
      </c>
      <c r="X524" t="inlineStr">
        <is>
          <t>Customer Unavailable</t>
        </is>
      </c>
    </row>
    <row r="525">
      <c r="A525" t="inlineStr">
        <is>
          <t>ORD-2026-00524</t>
        </is>
      </c>
      <c r="B525" t="inlineStr">
        <is>
          <t>CUST-0166</t>
        </is>
      </c>
      <c r="C525" s="3" t="n">
        <v>46069</v>
      </c>
      <c r="D525" s="3" t="n">
        <v>46077</v>
      </c>
      <c r="E525" s="3" t="n">
        <v>46079</v>
      </c>
      <c r="F525" t="inlineStr">
        <is>
          <t>Ahmedabad</t>
        </is>
      </c>
      <c r="G525" t="inlineStr">
        <is>
          <t>Pune</t>
        </is>
      </c>
      <c r="H525" t="inlineStr">
        <is>
          <t>BlueDart</t>
        </is>
      </c>
      <c r="I525" t="inlineStr">
        <is>
          <t>Truck</t>
        </is>
      </c>
      <c r="J525" t="inlineStr">
        <is>
          <t>Low</t>
        </is>
      </c>
      <c r="K525" t="inlineStr">
        <is>
          <t>Delivered</t>
        </is>
      </c>
      <c r="L525" t="n">
        <v>1746.56</v>
      </c>
      <c r="M525" t="n">
        <v>1231</v>
      </c>
      <c r="N525" t="n">
        <v>34.8</v>
      </c>
      <c r="O525" t="n">
        <v>5488.34</v>
      </c>
      <c r="P525" t="n">
        <v>677.08</v>
      </c>
      <c r="Q525">
        <f>ROUND(L525*M525*N525/1000+O525+P525,2)</f>
        <v/>
      </c>
      <c r="R525" t="inlineStr">
        <is>
          <t>No</t>
        </is>
      </c>
      <c r="S525">
        <f>IF(OR(E525="",D525=""),"",MAX(0,E525-D525))</f>
        <v/>
      </c>
      <c r="T525" t="inlineStr">
        <is>
          <t>Yes</t>
        </is>
      </c>
      <c r="U525" t="n">
        <v>78</v>
      </c>
      <c r="V525" t="inlineStr">
        <is>
          <t>Pending</t>
        </is>
      </c>
      <c r="W525" t="n">
        <v>5</v>
      </c>
      <c r="X525" t="inlineStr">
        <is>
          <t>Address Error</t>
        </is>
      </c>
    </row>
    <row r="526">
      <c r="A526" t="inlineStr">
        <is>
          <t>ORD-2026-00525</t>
        </is>
      </c>
      <c r="B526" t="inlineStr">
        <is>
          <t>CUST-0079</t>
        </is>
      </c>
      <c r="C526" s="3" t="n">
        <v>46025</v>
      </c>
      <c r="D526" s="3" t="n">
        <v>46032</v>
      </c>
      <c r="E526" s="3" t="n">
        <v>46035</v>
      </c>
      <c r="F526" t="inlineStr">
        <is>
          <t>Bengaluru</t>
        </is>
      </c>
      <c r="G526" t="inlineStr">
        <is>
          <t>Chennai</t>
        </is>
      </c>
      <c r="H526" t="inlineStr">
        <is>
          <t>DHL</t>
        </is>
      </c>
      <c r="I526" t="inlineStr">
        <is>
          <t>Refrigerated Truck</t>
        </is>
      </c>
      <c r="J526" t="inlineStr">
        <is>
          <t>Low</t>
        </is>
      </c>
      <c r="K526" t="inlineStr">
        <is>
          <t>Delivered</t>
        </is>
      </c>
      <c r="L526" t="n">
        <v>2190</v>
      </c>
      <c r="M526" t="n">
        <v>2274</v>
      </c>
      <c r="N526" t="n">
        <v>48.55</v>
      </c>
      <c r="O526" t="n">
        <v>10997.03</v>
      </c>
      <c r="P526" t="n">
        <v>866.66</v>
      </c>
      <c r="Q526">
        <f>ROUND(L526*M526*N526/1000+O526+P526,2)</f>
        <v/>
      </c>
      <c r="R526" t="inlineStr">
        <is>
          <t>No</t>
        </is>
      </c>
      <c r="S526">
        <f>IF(OR(E526="",D526=""),"",MAX(0,E526-D526))</f>
        <v/>
      </c>
      <c r="T526" t="inlineStr">
        <is>
          <t>No</t>
        </is>
      </c>
      <c r="U526" t="n">
        <v>17</v>
      </c>
      <c r="V526" t="inlineStr">
        <is>
          <t>Pending</t>
        </is>
      </c>
      <c r="W526" t="n">
        <v>4</v>
      </c>
      <c r="X526" t="inlineStr">
        <is>
          <t>Customs</t>
        </is>
      </c>
    </row>
    <row r="527">
      <c r="A527" t="inlineStr">
        <is>
          <t>ORD-2026-00526</t>
        </is>
      </c>
      <c r="B527" t="inlineStr">
        <is>
          <t>CUST-0081</t>
        </is>
      </c>
      <c r="C527" s="3" t="n">
        <v>46037</v>
      </c>
      <c r="D527" s="3" t="n">
        <v>46041</v>
      </c>
      <c r="E527" s="3" t="n">
        <v>46041</v>
      </c>
      <c r="F527" t="inlineStr">
        <is>
          <t>Chennai</t>
        </is>
      </c>
      <c r="G527" t="inlineStr">
        <is>
          <t>Chennai</t>
        </is>
      </c>
      <c r="H527" t="inlineStr">
        <is>
          <t>DHL</t>
        </is>
      </c>
      <c r="I527" t="inlineStr">
        <is>
          <t>Van</t>
        </is>
      </c>
      <c r="J527" t="inlineStr">
        <is>
          <t>High</t>
        </is>
      </c>
      <c r="K527" t="inlineStr">
        <is>
          <t>Delivered</t>
        </is>
      </c>
      <c r="L527" t="n">
        <v>2439.98</v>
      </c>
      <c r="M527" t="n">
        <v>2483</v>
      </c>
      <c r="N527" t="n">
        <v>55.98</v>
      </c>
      <c r="O527" t="n">
        <v>26790.91</v>
      </c>
      <c r="P527" t="n">
        <v>713.29</v>
      </c>
      <c r="Q527">
        <f>ROUND(L527*M527*N527/1000+O527+P527,2)</f>
        <v/>
      </c>
      <c r="R527" t="inlineStr">
        <is>
          <t>Yes</t>
        </is>
      </c>
      <c r="S527">
        <f>IF(OR(E527="",D527=""),"",MAX(0,E527-D527))</f>
        <v/>
      </c>
      <c r="T527" t="inlineStr">
        <is>
          <t>No</t>
        </is>
      </c>
      <c r="U527" t="n">
        <v>25</v>
      </c>
      <c r="V527" t="inlineStr">
        <is>
          <t>COD</t>
        </is>
      </c>
      <c r="W527" t="n">
        <v>1</v>
      </c>
      <c r="X527" t="inlineStr">
        <is>
          <t>None</t>
        </is>
      </c>
    </row>
    <row r="528">
      <c r="A528" t="inlineStr">
        <is>
          <t>ORD-2026-00527</t>
        </is>
      </c>
      <c r="B528" t="inlineStr">
        <is>
          <t>CUST-0003</t>
        </is>
      </c>
      <c r="C528" s="3" t="n">
        <v>46042</v>
      </c>
      <c r="D528" s="3" t="n">
        <v>46048</v>
      </c>
      <c r="E528" s="3" t="n">
        <v>46049</v>
      </c>
      <c r="F528" t="inlineStr">
        <is>
          <t>Pune</t>
        </is>
      </c>
      <c r="G528" t="inlineStr">
        <is>
          <t>Bengaluru</t>
        </is>
      </c>
      <c r="H528" t="inlineStr">
        <is>
          <t>DTDC</t>
        </is>
      </c>
      <c r="I528" t="inlineStr">
        <is>
          <t>Truck</t>
        </is>
      </c>
      <c r="J528" t="inlineStr">
        <is>
          <t>Low</t>
        </is>
      </c>
      <c r="K528" t="inlineStr">
        <is>
          <t>Delivered</t>
        </is>
      </c>
      <c r="L528" t="n">
        <v>70.61</v>
      </c>
      <c r="M528" t="n">
        <v>1160</v>
      </c>
      <c r="N528" t="n">
        <v>17.28</v>
      </c>
      <c r="O528" t="n">
        <v>51.5</v>
      </c>
      <c r="P528" t="n">
        <v>333.63</v>
      </c>
      <c r="Q528">
        <f>ROUND(L528*M528*N528/1000+O528+P528,2)</f>
        <v/>
      </c>
      <c r="R528" t="inlineStr">
        <is>
          <t>No</t>
        </is>
      </c>
      <c r="S528">
        <f>IF(OR(E528="",D528=""),"",MAX(0,E528-D528))</f>
        <v/>
      </c>
      <c r="T528" t="inlineStr">
        <is>
          <t>Yes</t>
        </is>
      </c>
      <c r="U528" t="n">
        <v>35</v>
      </c>
      <c r="V528" t="inlineStr">
        <is>
          <t>Paid</t>
        </is>
      </c>
      <c r="W528" t="n">
        <v>5</v>
      </c>
      <c r="X528" t="inlineStr">
        <is>
          <t>Customs</t>
        </is>
      </c>
    </row>
    <row r="529">
      <c r="A529" t="inlineStr">
        <is>
          <t>ORD-2026-00528</t>
        </is>
      </c>
      <c r="B529" t="inlineStr">
        <is>
          <t>CUST-0129</t>
        </is>
      </c>
      <c r="C529" s="3" t="n">
        <v>46034</v>
      </c>
      <c r="D529" s="3" t="n">
        <v>46042</v>
      </c>
      <c r="E529" s="3" t="n">
        <v>46042</v>
      </c>
      <c r="F529" t="inlineStr">
        <is>
          <t>Bengaluru</t>
        </is>
      </c>
      <c r="G529" t="inlineStr">
        <is>
          <t>Hyderabad</t>
        </is>
      </c>
      <c r="H529" t="inlineStr">
        <is>
          <t>Aramex</t>
        </is>
      </c>
      <c r="I529" t="inlineStr">
        <is>
          <t>Container</t>
        </is>
      </c>
      <c r="J529" t="inlineStr">
        <is>
          <t>High</t>
        </is>
      </c>
      <c r="K529" t="inlineStr">
        <is>
          <t>Delivered</t>
        </is>
      </c>
      <c r="L529" t="n">
        <v>2358.8</v>
      </c>
      <c r="M529" t="n">
        <v>39</v>
      </c>
      <c r="N529" t="n">
        <v>63.89</v>
      </c>
      <c r="O529" t="n">
        <v>441.4</v>
      </c>
      <c r="P529" t="n">
        <v>1438.93</v>
      </c>
      <c r="Q529">
        <f>ROUND(L529*M529*N529/1000+O529+P529,2)</f>
        <v/>
      </c>
      <c r="R529" t="inlineStr">
        <is>
          <t>Yes</t>
        </is>
      </c>
      <c r="S529">
        <f>IF(OR(E529="",D529=""),"",MAX(0,E529-D529))</f>
        <v/>
      </c>
      <c r="T529" t="inlineStr">
        <is>
          <t>Yes</t>
        </is>
      </c>
      <c r="U529" t="n">
        <v>13</v>
      </c>
      <c r="V529" t="inlineStr">
        <is>
          <t>COD</t>
        </is>
      </c>
      <c r="W529" t="n">
        <v>4</v>
      </c>
      <c r="X529" t="inlineStr">
        <is>
          <t>Damaged Package</t>
        </is>
      </c>
    </row>
    <row r="530">
      <c r="A530" t="inlineStr">
        <is>
          <t>ORD-2026-00529</t>
        </is>
      </c>
      <c r="B530" t="inlineStr">
        <is>
          <t>CUST-0042</t>
        </is>
      </c>
      <c r="C530" s="3" t="n">
        <v>46151</v>
      </c>
      <c r="D530" s="3" t="n">
        <v>46153</v>
      </c>
      <c r="E530" s="3" t="n">
        <v>46153</v>
      </c>
      <c r="F530" t="inlineStr">
        <is>
          <t>Delhi</t>
        </is>
      </c>
      <c r="G530" t="inlineStr">
        <is>
          <t>Jaipur</t>
        </is>
      </c>
      <c r="H530" t="inlineStr">
        <is>
          <t>BlueDart</t>
        </is>
      </c>
      <c r="I530" t="inlineStr">
        <is>
          <t>Van</t>
        </is>
      </c>
      <c r="J530" t="inlineStr">
        <is>
          <t>Normal</t>
        </is>
      </c>
      <c r="K530" t="inlineStr">
        <is>
          <t>Delivered</t>
        </is>
      </c>
      <c r="L530" t="n">
        <v>59.7</v>
      </c>
      <c r="M530" t="n">
        <v>1570</v>
      </c>
      <c r="N530" t="n">
        <v>35.19</v>
      </c>
      <c r="O530" t="n">
        <v>270.89</v>
      </c>
      <c r="P530" t="n">
        <v>75.36</v>
      </c>
      <c r="Q530">
        <f>ROUND(L530*M530*N530/1000+O530+P530,2)</f>
        <v/>
      </c>
      <c r="R530" t="inlineStr">
        <is>
          <t>Yes</t>
        </is>
      </c>
      <c r="S530">
        <f>IF(OR(E530="",D530=""),"",MAX(0,E530-D530))</f>
        <v/>
      </c>
      <c r="T530" t="inlineStr">
        <is>
          <t>Yes</t>
        </is>
      </c>
      <c r="U530" t="n">
        <v>19</v>
      </c>
      <c r="V530" t="inlineStr">
        <is>
          <t>Pending</t>
        </is>
      </c>
      <c r="W530" t="n">
        <v>5</v>
      </c>
      <c r="X530" t="inlineStr">
        <is>
          <t>Customs</t>
        </is>
      </c>
    </row>
    <row r="531">
      <c r="A531" t="inlineStr">
        <is>
          <t>ORD-2026-00530</t>
        </is>
      </c>
      <c r="B531" t="inlineStr">
        <is>
          <t>CUST-0199</t>
        </is>
      </c>
      <c r="C531" s="3" t="n">
        <v>46209</v>
      </c>
      <c r="D531" s="3" t="n">
        <v>46215</v>
      </c>
      <c r="E531" s="3" t="n">
        <v>46215</v>
      </c>
      <c r="F531" t="inlineStr">
        <is>
          <t>Chennai</t>
        </is>
      </c>
      <c r="G531" t="inlineStr">
        <is>
          <t>Bengaluru</t>
        </is>
      </c>
      <c r="H531" t="inlineStr">
        <is>
          <t>DHL</t>
        </is>
      </c>
      <c r="I531" t="inlineStr">
        <is>
          <t>Bike</t>
        </is>
      </c>
      <c r="J531" t="inlineStr">
        <is>
          <t>Low</t>
        </is>
      </c>
      <c r="K531" t="inlineStr">
        <is>
          <t>Delivered</t>
        </is>
      </c>
      <c r="L531" t="n">
        <v>727.46</v>
      </c>
      <c r="M531" t="n">
        <v>2558</v>
      </c>
      <c r="N531" t="n">
        <v>56.79</v>
      </c>
      <c r="O531" t="n">
        <v>5902.51</v>
      </c>
      <c r="P531" t="n">
        <v>1338.21</v>
      </c>
      <c r="Q531">
        <f>ROUND(L531*M531*N531/1000+O531+P531,2)</f>
        <v/>
      </c>
      <c r="R531" t="inlineStr">
        <is>
          <t>Yes</t>
        </is>
      </c>
      <c r="S531">
        <f>IF(OR(E531="",D531=""),"",MAX(0,E531-D531))</f>
        <v/>
      </c>
      <c r="T531" t="inlineStr">
        <is>
          <t>Yes</t>
        </is>
      </c>
      <c r="U531" t="n">
        <v>73</v>
      </c>
      <c r="V531" t="inlineStr">
        <is>
          <t>Failed</t>
        </is>
      </c>
      <c r="W531" t="n">
        <v>1</v>
      </c>
      <c r="X531" t="inlineStr">
        <is>
          <t>Customer Unavailable</t>
        </is>
      </c>
    </row>
    <row r="532">
      <c r="A532" t="inlineStr">
        <is>
          <t>ORD-2026-00531</t>
        </is>
      </c>
      <c r="B532" t="inlineStr">
        <is>
          <t>CUST-0076</t>
        </is>
      </c>
      <c r="C532" s="3" t="n">
        <v>46026</v>
      </c>
      <c r="D532" s="3" t="n">
        <v>46029</v>
      </c>
      <c r="E532" s="3" t="n">
        <v>46031</v>
      </c>
      <c r="F532" t="inlineStr">
        <is>
          <t>Delhi</t>
        </is>
      </c>
      <c r="G532" t="inlineStr">
        <is>
          <t>Mumbai</t>
        </is>
      </c>
      <c r="H532" t="inlineStr">
        <is>
          <t>FedEx</t>
        </is>
      </c>
      <c r="I532" t="inlineStr">
        <is>
          <t>Bike</t>
        </is>
      </c>
      <c r="J532" t="inlineStr">
        <is>
          <t>High</t>
        </is>
      </c>
      <c r="K532" t="inlineStr">
        <is>
          <t>Delivered</t>
        </is>
      </c>
      <c r="L532" t="n">
        <v>2168.9</v>
      </c>
      <c r="M532" t="n">
        <v>362</v>
      </c>
      <c r="N532" t="n">
        <v>36.44</v>
      </c>
      <c r="O532" t="n">
        <v>1639.06</v>
      </c>
      <c r="P532" t="n">
        <v>271.18</v>
      </c>
      <c r="Q532">
        <f>ROUND(L532*M532*N532/1000+O532+P532,2)</f>
        <v/>
      </c>
      <c r="R532" t="inlineStr">
        <is>
          <t>No</t>
        </is>
      </c>
      <c r="S532">
        <f>IF(OR(E532="",D532=""),"",MAX(0,E532-D532))</f>
        <v/>
      </c>
      <c r="T532" t="inlineStr">
        <is>
          <t>No</t>
        </is>
      </c>
      <c r="U532" t="n">
        <v>12</v>
      </c>
      <c r="V532" t="inlineStr">
        <is>
          <t>Paid</t>
        </is>
      </c>
      <c r="W532" t="n">
        <v>2</v>
      </c>
      <c r="X532" t="inlineStr">
        <is>
          <t>Damaged Package</t>
        </is>
      </c>
    </row>
    <row r="533">
      <c r="A533" t="inlineStr">
        <is>
          <t>ORD-2026-00532</t>
        </is>
      </c>
      <c r="B533" t="inlineStr">
        <is>
          <t>CUST-0146</t>
        </is>
      </c>
      <c r="C533" s="3" t="n">
        <v>46220</v>
      </c>
      <c r="D533" s="3" t="n">
        <v>46228</v>
      </c>
      <c r="E533" s="3" t="n">
        <v>46228</v>
      </c>
      <c r="F533" t="inlineStr">
        <is>
          <t>Jaipur</t>
        </is>
      </c>
      <c r="G533" t="inlineStr">
        <is>
          <t>Ahmedabad</t>
        </is>
      </c>
      <c r="H533" t="inlineStr">
        <is>
          <t>FedEx</t>
        </is>
      </c>
      <c r="I533" t="inlineStr">
        <is>
          <t>Refrigerated Truck</t>
        </is>
      </c>
      <c r="J533" t="inlineStr">
        <is>
          <t>Critical</t>
        </is>
      </c>
      <c r="K533" t="inlineStr">
        <is>
          <t>Delivered</t>
        </is>
      </c>
      <c r="L533" t="n">
        <v>640.4400000000001</v>
      </c>
      <c r="M533" t="n">
        <v>1815</v>
      </c>
      <c r="N533" t="n">
        <v>45.07</v>
      </c>
      <c r="O533" t="n">
        <v>2013.16</v>
      </c>
      <c r="P533" t="n">
        <v>203.47</v>
      </c>
      <c r="Q533">
        <f>ROUND(L533*M533*N533/1000+O533+P533,2)</f>
        <v/>
      </c>
      <c r="R533" t="inlineStr">
        <is>
          <t>Yes</t>
        </is>
      </c>
      <c r="S533">
        <f>IF(OR(E533="",D533=""),"",MAX(0,E533-D533))</f>
        <v/>
      </c>
      <c r="T533" t="inlineStr">
        <is>
          <t>No</t>
        </is>
      </c>
      <c r="U533" t="n">
        <v>80</v>
      </c>
      <c r="V533" t="inlineStr">
        <is>
          <t>Pending</t>
        </is>
      </c>
      <c r="W533" t="n">
        <v>4</v>
      </c>
      <c r="X533" t="inlineStr">
        <is>
          <t>Vehicle Breakdown</t>
        </is>
      </c>
    </row>
    <row r="534">
      <c r="A534" t="inlineStr">
        <is>
          <t>ORD-2026-00533</t>
        </is>
      </c>
      <c r="B534" t="inlineStr">
        <is>
          <t>CUST-0165</t>
        </is>
      </c>
      <c r="C534" s="3" t="n">
        <v>46154</v>
      </c>
      <c r="D534" s="3" t="n">
        <v>46160</v>
      </c>
      <c r="E534" s="3" t="n">
        <v>46160</v>
      </c>
      <c r="F534" t="inlineStr">
        <is>
          <t>Ahmedabad</t>
        </is>
      </c>
      <c r="G534" t="inlineStr">
        <is>
          <t>Bengaluru</t>
        </is>
      </c>
      <c r="H534" t="inlineStr">
        <is>
          <t>Maersk</t>
        </is>
      </c>
      <c r="I534" t="inlineStr">
        <is>
          <t>Bike</t>
        </is>
      </c>
      <c r="J534" t="inlineStr">
        <is>
          <t>Low</t>
        </is>
      </c>
      <c r="K534" t="inlineStr">
        <is>
          <t>Delivered</t>
        </is>
      </c>
      <c r="L534" t="n">
        <v>1265.1</v>
      </c>
      <c r="M534" t="n">
        <v>1081</v>
      </c>
      <c r="N534" t="n">
        <v>58.01</v>
      </c>
      <c r="O534" t="n">
        <v>7098.3</v>
      </c>
      <c r="P534" t="n">
        <v>83.16</v>
      </c>
      <c r="Q534">
        <f>ROUND(L534*M534*N534/1000+O534+P534,2)</f>
        <v/>
      </c>
      <c r="R534" t="inlineStr">
        <is>
          <t>Yes</t>
        </is>
      </c>
      <c r="S534">
        <f>IF(OR(E534="",D534=""),"",MAX(0,E534-D534))</f>
        <v/>
      </c>
      <c r="T534" t="inlineStr">
        <is>
          <t>Yes</t>
        </is>
      </c>
      <c r="U534" t="n">
        <v>14</v>
      </c>
      <c r="V534" t="inlineStr">
        <is>
          <t>COD</t>
        </is>
      </c>
      <c r="W534" t="n">
        <v>4</v>
      </c>
      <c r="X534" t="inlineStr">
        <is>
          <t>Address Error</t>
        </is>
      </c>
    </row>
    <row r="535">
      <c r="A535" t="inlineStr">
        <is>
          <t>ORD-2026-00534</t>
        </is>
      </c>
      <c r="B535" t="inlineStr">
        <is>
          <t>CUST-0231</t>
        </is>
      </c>
      <c r="C535" s="3" t="n">
        <v>46168</v>
      </c>
      <c r="D535" s="3" t="n">
        <v>46175</v>
      </c>
      <c r="E535" s="3" t="n">
        <v>46178</v>
      </c>
      <c r="F535" t="inlineStr">
        <is>
          <t>Jaipur</t>
        </is>
      </c>
      <c r="G535" t="inlineStr">
        <is>
          <t>Mumbai</t>
        </is>
      </c>
      <c r="H535" t="inlineStr">
        <is>
          <t>BlueDart</t>
        </is>
      </c>
      <c r="I535" t="inlineStr">
        <is>
          <t>Truck</t>
        </is>
      </c>
      <c r="J535" t="inlineStr">
        <is>
          <t>Low</t>
        </is>
      </c>
      <c r="K535" t="inlineStr">
        <is>
          <t>Delivered</t>
        </is>
      </c>
      <c r="L535" t="n">
        <v>2185.46</v>
      </c>
      <c r="M535" t="n">
        <v>2745</v>
      </c>
      <c r="N535" t="n">
        <v>13.33</v>
      </c>
      <c r="O535" t="n">
        <v>4634.35</v>
      </c>
      <c r="P535" t="n">
        <v>970.88</v>
      </c>
      <c r="Q535">
        <f>ROUND(L535*M535*N535/1000+O535+P535,2)</f>
        <v/>
      </c>
      <c r="R535" t="inlineStr">
        <is>
          <t>No</t>
        </is>
      </c>
      <c r="S535">
        <f>IF(OR(E535="",D535=""),"",MAX(0,E535-D535))</f>
        <v/>
      </c>
      <c r="T535" t="inlineStr">
        <is>
          <t>No</t>
        </is>
      </c>
      <c r="U535" t="n">
        <v>56</v>
      </c>
      <c r="V535" t="inlineStr">
        <is>
          <t>Pending</t>
        </is>
      </c>
      <c r="W535" t="n">
        <v>4</v>
      </c>
      <c r="X535" t="inlineStr">
        <is>
          <t>Vehicle Breakdown</t>
        </is>
      </c>
    </row>
    <row r="536">
      <c r="A536" t="inlineStr">
        <is>
          <t>ORD-2026-00535</t>
        </is>
      </c>
      <c r="B536" t="inlineStr">
        <is>
          <t>CUST-0243</t>
        </is>
      </c>
      <c r="C536" s="3" t="n">
        <v>46039</v>
      </c>
      <c r="D536" s="3" t="n">
        <v>46045</v>
      </c>
      <c r="E536" s="3" t="n">
        <v>46045</v>
      </c>
      <c r="F536" t="inlineStr">
        <is>
          <t>Jaipur</t>
        </is>
      </c>
      <c r="G536" t="inlineStr">
        <is>
          <t>Delhi</t>
        </is>
      </c>
      <c r="H536" t="inlineStr">
        <is>
          <t>Maersk</t>
        </is>
      </c>
      <c r="I536" t="inlineStr">
        <is>
          <t>Truck</t>
        </is>
      </c>
      <c r="J536" t="inlineStr">
        <is>
          <t>High</t>
        </is>
      </c>
      <c r="K536" t="inlineStr">
        <is>
          <t>Delivered</t>
        </is>
      </c>
      <c r="L536" t="n">
        <v>531.98</v>
      </c>
      <c r="M536" t="n">
        <v>1955</v>
      </c>
      <c r="N536" t="n">
        <v>14.52</v>
      </c>
      <c r="O536" t="n">
        <v>864.91</v>
      </c>
      <c r="P536" t="n">
        <v>826.72</v>
      </c>
      <c r="Q536">
        <f>ROUND(L536*M536*N536/1000+O536+P536,2)</f>
        <v/>
      </c>
      <c r="R536" t="inlineStr">
        <is>
          <t>Yes</t>
        </is>
      </c>
      <c r="S536">
        <f>IF(OR(E536="",D536=""),"",MAX(0,E536-D536))</f>
        <v/>
      </c>
      <c r="T536" t="inlineStr">
        <is>
          <t>Yes</t>
        </is>
      </c>
      <c r="U536" t="n">
        <v>77</v>
      </c>
      <c r="V536" t="inlineStr">
        <is>
          <t>Failed</t>
        </is>
      </c>
      <c r="W536" t="n">
        <v>1</v>
      </c>
      <c r="X536" t="inlineStr">
        <is>
          <t>Customer Unavailable</t>
        </is>
      </c>
    </row>
    <row r="537">
      <c r="A537" t="inlineStr">
        <is>
          <t>ORD-2026-00536</t>
        </is>
      </c>
      <c r="B537" t="inlineStr">
        <is>
          <t>CUST-0163</t>
        </is>
      </c>
      <c r="C537" s="3" t="n">
        <v>46115</v>
      </c>
      <c r="D537" s="3" t="n">
        <v>46122</v>
      </c>
      <c r="E537" s="3" t="n">
        <v>46132</v>
      </c>
      <c r="F537" t="inlineStr">
        <is>
          <t>Delhi</t>
        </is>
      </c>
      <c r="G537" t="inlineStr">
        <is>
          <t>Mumbai</t>
        </is>
      </c>
      <c r="H537" t="inlineStr">
        <is>
          <t>DHL</t>
        </is>
      </c>
      <c r="I537" t="inlineStr">
        <is>
          <t>Van</t>
        </is>
      </c>
      <c r="J537" t="inlineStr">
        <is>
          <t>High</t>
        </is>
      </c>
      <c r="K537" t="inlineStr">
        <is>
          <t>Delivered</t>
        </is>
      </c>
      <c r="L537" t="n">
        <v>529.13</v>
      </c>
      <c r="M537" t="n">
        <v>98</v>
      </c>
      <c r="N537" t="n">
        <v>62.3</v>
      </c>
      <c r="O537" t="n">
        <v>229.43</v>
      </c>
      <c r="P537" t="n">
        <v>419.38</v>
      </c>
      <c r="Q537">
        <f>ROUND(L537*M537*N537/1000+O537+P537,2)</f>
        <v/>
      </c>
      <c r="R537" t="inlineStr">
        <is>
          <t>No</t>
        </is>
      </c>
      <c r="S537">
        <f>IF(OR(E537="",D537=""),"",MAX(0,E537-D537))</f>
        <v/>
      </c>
      <c r="T537" t="inlineStr">
        <is>
          <t>No</t>
        </is>
      </c>
      <c r="U537" t="n">
        <v>11</v>
      </c>
      <c r="V537" t="inlineStr">
        <is>
          <t>COD</t>
        </is>
      </c>
      <c r="W537" t="n">
        <v>4</v>
      </c>
      <c r="X537" t="inlineStr">
        <is>
          <t>Customer Unavailable</t>
        </is>
      </c>
    </row>
    <row r="538">
      <c r="A538" t="inlineStr">
        <is>
          <t>ORD-2026-00537</t>
        </is>
      </c>
      <c r="B538" t="inlineStr">
        <is>
          <t>CUST-0077</t>
        </is>
      </c>
      <c r="C538" s="3" t="n">
        <v>46130</v>
      </c>
      <c r="D538" s="3" t="n">
        <v>46134</v>
      </c>
      <c r="E538" s="3" t="n">
        <v>46135</v>
      </c>
      <c r="F538" t="inlineStr">
        <is>
          <t>Delhi</t>
        </is>
      </c>
      <c r="G538" t="inlineStr">
        <is>
          <t>Bengaluru</t>
        </is>
      </c>
      <c r="H538" t="inlineStr">
        <is>
          <t>FedEx</t>
        </is>
      </c>
      <c r="I538" t="inlineStr">
        <is>
          <t>Container</t>
        </is>
      </c>
      <c r="J538" t="inlineStr">
        <is>
          <t>Critical</t>
        </is>
      </c>
      <c r="K538" t="inlineStr">
        <is>
          <t>Delivered</t>
        </is>
      </c>
      <c r="L538" t="n">
        <v>2076.46</v>
      </c>
      <c r="M538" t="n">
        <v>383</v>
      </c>
      <c r="N538" t="n">
        <v>59.01</v>
      </c>
      <c r="O538" t="n">
        <v>2614.55</v>
      </c>
      <c r="P538" t="n">
        <v>1445.78</v>
      </c>
      <c r="Q538">
        <f>ROUND(L538*M538*N538/1000+O538+P538,2)</f>
        <v/>
      </c>
      <c r="R538" t="inlineStr">
        <is>
          <t>No</t>
        </is>
      </c>
      <c r="S538">
        <f>IF(OR(E538="",D538=""),"",MAX(0,E538-D538))</f>
        <v/>
      </c>
      <c r="T538" t="inlineStr">
        <is>
          <t>No</t>
        </is>
      </c>
      <c r="U538" t="n">
        <v>69</v>
      </c>
      <c r="V538" t="inlineStr">
        <is>
          <t>Pending</t>
        </is>
      </c>
      <c r="W538" t="n">
        <v>4</v>
      </c>
      <c r="X538" t="inlineStr">
        <is>
          <t>Vehicle Breakdown</t>
        </is>
      </c>
    </row>
    <row r="539">
      <c r="A539" t="inlineStr">
        <is>
          <t>ORD-2026-00538</t>
        </is>
      </c>
      <c r="B539" t="inlineStr">
        <is>
          <t>CUST-0083</t>
        </is>
      </c>
      <c r="C539" s="3" t="n">
        <v>46200</v>
      </c>
      <c r="D539" s="3" t="n">
        <v>46207</v>
      </c>
      <c r="E539" s="3" t="n">
        <v>46209</v>
      </c>
      <c r="F539" t="inlineStr">
        <is>
          <t>Hyderabad</t>
        </is>
      </c>
      <c r="G539" t="inlineStr">
        <is>
          <t>Ahmedabad</t>
        </is>
      </c>
      <c r="H539" t="inlineStr">
        <is>
          <t>DHL</t>
        </is>
      </c>
      <c r="I539" t="inlineStr">
        <is>
          <t>Container</t>
        </is>
      </c>
      <c r="J539" t="inlineStr">
        <is>
          <t>Normal</t>
        </is>
      </c>
      <c r="K539" t="inlineStr">
        <is>
          <t>Delivered</t>
        </is>
      </c>
      <c r="L539" t="n">
        <v>2234.5</v>
      </c>
      <c r="M539" t="n">
        <v>818</v>
      </c>
      <c r="N539" t="n">
        <v>12.44</v>
      </c>
      <c r="O539" t="n">
        <v>1593.43</v>
      </c>
      <c r="P539" t="n">
        <v>932.4400000000001</v>
      </c>
      <c r="Q539">
        <f>ROUND(L539*M539*N539/1000+O539+P539,2)</f>
        <v/>
      </c>
      <c r="R539" t="inlineStr">
        <is>
          <t>No</t>
        </is>
      </c>
      <c r="S539">
        <f>IF(OR(E539="",D539=""),"",MAX(0,E539-D539))</f>
        <v/>
      </c>
      <c r="T539" t="inlineStr">
        <is>
          <t>No</t>
        </is>
      </c>
      <c r="U539" t="n">
        <v>41</v>
      </c>
      <c r="V539" t="inlineStr">
        <is>
          <t>Paid</t>
        </is>
      </c>
      <c r="W539" t="n">
        <v>4</v>
      </c>
      <c r="X539" t="inlineStr">
        <is>
          <t>Vehicle Breakdown</t>
        </is>
      </c>
    </row>
    <row r="540">
      <c r="A540" t="inlineStr">
        <is>
          <t>ORD-2026-00539</t>
        </is>
      </c>
      <c r="B540" t="inlineStr">
        <is>
          <t>CUST-0056</t>
        </is>
      </c>
      <c r="C540" s="3" t="n">
        <v>46156</v>
      </c>
      <c r="D540" s="3" t="n">
        <v>46157</v>
      </c>
      <c r="E540" s="3" t="n">
        <v>46167</v>
      </c>
      <c r="F540" t="inlineStr">
        <is>
          <t>Bengaluru</t>
        </is>
      </c>
      <c r="G540" t="inlineStr">
        <is>
          <t>Chennai</t>
        </is>
      </c>
      <c r="H540" t="inlineStr">
        <is>
          <t>Maersk</t>
        </is>
      </c>
      <c r="I540" t="inlineStr">
        <is>
          <t>Bike</t>
        </is>
      </c>
      <c r="J540" t="inlineStr">
        <is>
          <t>Normal</t>
        </is>
      </c>
      <c r="K540" t="inlineStr">
        <is>
          <t>Delivered</t>
        </is>
      </c>
      <c r="L540" t="n">
        <v>2143.24</v>
      </c>
      <c r="M540" t="n">
        <v>2603</v>
      </c>
      <c r="N540" t="n">
        <v>33.61</v>
      </c>
      <c r="O540" t="n">
        <v>16531.86</v>
      </c>
      <c r="P540" t="n">
        <v>164.22</v>
      </c>
      <c r="Q540">
        <f>ROUND(L540*M540*N540/1000+O540+P540,2)</f>
        <v/>
      </c>
      <c r="R540" t="inlineStr">
        <is>
          <t>No</t>
        </is>
      </c>
      <c r="S540">
        <f>IF(OR(E540="",D540=""),"",MAX(0,E540-D540))</f>
        <v/>
      </c>
      <c r="T540" t="inlineStr">
        <is>
          <t>No</t>
        </is>
      </c>
      <c r="U540" t="n">
        <v>28</v>
      </c>
      <c r="V540" t="inlineStr">
        <is>
          <t>COD</t>
        </is>
      </c>
      <c r="W540" t="n">
        <v>2</v>
      </c>
      <c r="X540" t="inlineStr">
        <is>
          <t>Address Error</t>
        </is>
      </c>
    </row>
    <row r="541">
      <c r="A541" t="inlineStr">
        <is>
          <t>ORD-2026-00540</t>
        </is>
      </c>
      <c r="B541" t="inlineStr">
        <is>
          <t>CUST-0167</t>
        </is>
      </c>
      <c r="C541" s="3" t="n">
        <v>46196</v>
      </c>
      <c r="D541" s="3" t="n">
        <v>46197</v>
      </c>
      <c r="E541" s="3" t="n">
        <v>46197</v>
      </c>
      <c r="F541" t="inlineStr">
        <is>
          <t>Jaipur</t>
        </is>
      </c>
      <c r="G541" t="inlineStr">
        <is>
          <t>Chennai</t>
        </is>
      </c>
      <c r="H541" t="inlineStr">
        <is>
          <t>Delhivery</t>
        </is>
      </c>
      <c r="I541" t="inlineStr">
        <is>
          <t>Refrigerated Truck</t>
        </is>
      </c>
      <c r="J541" t="inlineStr">
        <is>
          <t>High</t>
        </is>
      </c>
      <c r="K541" t="inlineStr">
        <is>
          <t>Delivered</t>
        </is>
      </c>
      <c r="L541" t="n">
        <v>755.21</v>
      </c>
      <c r="M541" t="n">
        <v>1262</v>
      </c>
      <c r="N541" t="n">
        <v>36.62</v>
      </c>
      <c r="O541" t="n">
        <v>2864.22</v>
      </c>
      <c r="P541" t="n">
        <v>1054.99</v>
      </c>
      <c r="Q541">
        <f>ROUND(L541*M541*N541/1000+O541+P541,2)</f>
        <v/>
      </c>
      <c r="R541" t="inlineStr">
        <is>
          <t>Yes</t>
        </is>
      </c>
      <c r="S541">
        <f>IF(OR(E541="",D541=""),"",MAX(0,E541-D541))</f>
        <v/>
      </c>
      <c r="T541" t="inlineStr">
        <is>
          <t>No</t>
        </is>
      </c>
      <c r="U541" t="n">
        <v>67</v>
      </c>
      <c r="V541" t="inlineStr">
        <is>
          <t>COD</t>
        </is>
      </c>
      <c r="W541" t="n">
        <v>1</v>
      </c>
      <c r="X541" t="inlineStr">
        <is>
          <t>Address Error</t>
        </is>
      </c>
    </row>
    <row r="542">
      <c r="A542" t="inlineStr">
        <is>
          <t>ORD-2026-00541</t>
        </is>
      </c>
      <c r="B542" t="inlineStr">
        <is>
          <t>CUST-0112</t>
        </is>
      </c>
      <c r="C542" s="3" t="n">
        <v>46140</v>
      </c>
      <c r="D542" s="3" t="n">
        <v>46147</v>
      </c>
      <c r="E542" s="3" t="n">
        <v>46147</v>
      </c>
      <c r="F542" t="inlineStr">
        <is>
          <t>Pune</t>
        </is>
      </c>
      <c r="G542" t="inlineStr">
        <is>
          <t>Kolkata</t>
        </is>
      </c>
      <c r="H542" t="inlineStr">
        <is>
          <t>Aramex</t>
        </is>
      </c>
      <c r="I542" t="inlineStr">
        <is>
          <t>Van</t>
        </is>
      </c>
      <c r="J542" t="inlineStr">
        <is>
          <t>Low</t>
        </is>
      </c>
      <c r="K542" t="inlineStr">
        <is>
          <t>Delivered</t>
        </is>
      </c>
      <c r="L542" t="n">
        <v>407.06</v>
      </c>
      <c r="M542" t="n">
        <v>1790</v>
      </c>
      <c r="N542" t="n">
        <v>29.75</v>
      </c>
      <c r="O542" t="n">
        <v>1749.45</v>
      </c>
      <c r="P542" t="n">
        <v>1039.05</v>
      </c>
      <c r="Q542">
        <f>ROUND(L542*M542*N542/1000+O542+P542,2)</f>
        <v/>
      </c>
      <c r="R542" t="inlineStr">
        <is>
          <t>Yes</t>
        </is>
      </c>
      <c r="S542">
        <f>IF(OR(E542="",D542=""),"",MAX(0,E542-D542))</f>
        <v/>
      </c>
      <c r="T542" t="inlineStr">
        <is>
          <t>Yes</t>
        </is>
      </c>
      <c r="U542" t="n">
        <v>12</v>
      </c>
      <c r="V542" t="inlineStr">
        <is>
          <t>Paid</t>
        </is>
      </c>
      <c r="W542" t="n">
        <v>5</v>
      </c>
      <c r="X542" t="inlineStr">
        <is>
          <t>Weather</t>
        </is>
      </c>
    </row>
    <row r="543">
      <c r="A543" t="inlineStr">
        <is>
          <t>ORD-2026-00542</t>
        </is>
      </c>
      <c r="B543" t="inlineStr">
        <is>
          <t>CUST-0075</t>
        </is>
      </c>
      <c r="C543" s="3" t="n">
        <v>46049</v>
      </c>
      <c r="D543" s="3" t="n">
        <v>46057</v>
      </c>
      <c r="E543" s="3" t="n">
        <v>46059</v>
      </c>
      <c r="F543" t="inlineStr">
        <is>
          <t>Chennai</t>
        </is>
      </c>
      <c r="G543" t="inlineStr">
        <is>
          <t>Bengaluru</t>
        </is>
      </c>
      <c r="H543" t="inlineStr">
        <is>
          <t>DHL</t>
        </is>
      </c>
      <c r="I543" t="inlineStr">
        <is>
          <t>Container</t>
        </is>
      </c>
      <c r="J543" t="inlineStr">
        <is>
          <t>Critical</t>
        </is>
      </c>
      <c r="K543" t="inlineStr">
        <is>
          <t>Delivered</t>
        </is>
      </c>
      <c r="L543" t="n">
        <v>1362.06</v>
      </c>
      <c r="M543" t="n">
        <v>2599</v>
      </c>
      <c r="N543" t="n">
        <v>33.31</v>
      </c>
      <c r="O543" t="n">
        <v>7649.76</v>
      </c>
      <c r="P543" t="n">
        <v>68.3</v>
      </c>
      <c r="Q543">
        <f>ROUND(L543*M543*N543/1000+O543+P543,2)</f>
        <v/>
      </c>
      <c r="R543" t="inlineStr">
        <is>
          <t>No</t>
        </is>
      </c>
      <c r="S543">
        <f>IF(OR(E543="",D543=""),"",MAX(0,E543-D543))</f>
        <v/>
      </c>
      <c r="T543" t="inlineStr">
        <is>
          <t>Yes</t>
        </is>
      </c>
      <c r="U543" t="n">
        <v>26</v>
      </c>
      <c r="V543" t="inlineStr">
        <is>
          <t>Failed</t>
        </is>
      </c>
      <c r="W543" t="n">
        <v>1</v>
      </c>
      <c r="X543" t="inlineStr">
        <is>
          <t>Vehicle Breakdown</t>
        </is>
      </c>
    </row>
    <row r="544">
      <c r="A544" t="inlineStr">
        <is>
          <t>ORD-2026-00543</t>
        </is>
      </c>
      <c r="B544" t="inlineStr">
        <is>
          <t>CUST-0073</t>
        </is>
      </c>
      <c r="C544" s="3" t="n">
        <v>46226</v>
      </c>
      <c r="D544" s="3" t="n">
        <v>46234</v>
      </c>
      <c r="E544" s="3" t="n">
        <v>46234</v>
      </c>
      <c r="F544" t="inlineStr">
        <is>
          <t>Pune</t>
        </is>
      </c>
      <c r="G544" t="inlineStr">
        <is>
          <t>Pune</t>
        </is>
      </c>
      <c r="H544" t="inlineStr">
        <is>
          <t>FedEx</t>
        </is>
      </c>
      <c r="I544" t="inlineStr">
        <is>
          <t>Container</t>
        </is>
      </c>
      <c r="J544" t="inlineStr">
        <is>
          <t>Normal</t>
        </is>
      </c>
      <c r="K544" t="inlineStr">
        <is>
          <t>Delivered</t>
        </is>
      </c>
      <c r="L544" t="n">
        <v>1759.74</v>
      </c>
      <c r="M544" t="n">
        <v>1626</v>
      </c>
      <c r="N544" t="n">
        <v>8.43</v>
      </c>
      <c r="O544" t="n">
        <v>1265.84</v>
      </c>
      <c r="P544" t="n">
        <v>351.43</v>
      </c>
      <c r="Q544">
        <f>ROUND(L544*M544*N544/1000+O544+P544,2)</f>
        <v/>
      </c>
      <c r="R544" t="inlineStr">
        <is>
          <t>Yes</t>
        </is>
      </c>
      <c r="S544">
        <f>IF(OR(E544="",D544=""),"",MAX(0,E544-D544))</f>
        <v/>
      </c>
      <c r="T544" t="inlineStr">
        <is>
          <t>Yes</t>
        </is>
      </c>
      <c r="U544" t="n">
        <v>54</v>
      </c>
      <c r="V544" t="inlineStr">
        <is>
          <t>Paid</t>
        </is>
      </c>
      <c r="W544" t="n">
        <v>1</v>
      </c>
      <c r="X544" t="inlineStr">
        <is>
          <t>None</t>
        </is>
      </c>
    </row>
    <row r="545">
      <c r="A545" t="inlineStr">
        <is>
          <t>ORD-2026-00544</t>
        </is>
      </c>
      <c r="B545" t="inlineStr">
        <is>
          <t>CUST-0062</t>
        </is>
      </c>
      <c r="C545" s="3" t="n">
        <v>46062</v>
      </c>
      <c r="D545" s="3" t="n">
        <v>46068</v>
      </c>
      <c r="E545" s="3" t="n">
        <v>46071</v>
      </c>
      <c r="F545" t="inlineStr">
        <is>
          <t>Surat</t>
        </is>
      </c>
      <c r="G545" t="inlineStr">
        <is>
          <t>Chennai</t>
        </is>
      </c>
      <c r="H545" t="inlineStr">
        <is>
          <t>DHL</t>
        </is>
      </c>
      <c r="I545" t="inlineStr">
        <is>
          <t>Bike</t>
        </is>
      </c>
      <c r="J545" t="inlineStr">
        <is>
          <t>Critical</t>
        </is>
      </c>
      <c r="K545" t="inlineStr">
        <is>
          <t>Delivered</t>
        </is>
      </c>
      <c r="L545" t="n">
        <v>1853.24</v>
      </c>
      <c r="M545" t="n">
        <v>1305</v>
      </c>
      <c r="N545" t="n">
        <v>27.1</v>
      </c>
      <c r="O545" t="n">
        <v>5738.07</v>
      </c>
      <c r="P545" t="n">
        <v>1489.39</v>
      </c>
      <c r="Q545">
        <f>ROUND(L545*M545*N545/1000+O545+P545,2)</f>
        <v/>
      </c>
      <c r="R545" t="inlineStr">
        <is>
          <t>No</t>
        </is>
      </c>
      <c r="S545">
        <f>IF(OR(E545="",D545=""),"",MAX(0,E545-D545))</f>
        <v/>
      </c>
      <c r="T545" t="inlineStr">
        <is>
          <t>Yes</t>
        </is>
      </c>
      <c r="U545" t="n">
        <v>74</v>
      </c>
      <c r="V545" t="inlineStr">
        <is>
          <t>Failed</t>
        </is>
      </c>
      <c r="W545" t="n">
        <v>2</v>
      </c>
      <c r="X545" t="inlineStr">
        <is>
          <t>Damaged Package</t>
        </is>
      </c>
    </row>
    <row r="546">
      <c r="A546" t="inlineStr">
        <is>
          <t>ORD-2026-00545</t>
        </is>
      </c>
      <c r="B546" t="inlineStr">
        <is>
          <t>CUST-0162</t>
        </is>
      </c>
      <c r="C546" s="3" t="n">
        <v>46122</v>
      </c>
      <c r="D546" s="3" t="n">
        <v>46125</v>
      </c>
      <c r="E546" s="3" t="n">
        <v>46125</v>
      </c>
      <c r="F546" t="inlineStr">
        <is>
          <t>Kolkata</t>
        </is>
      </c>
      <c r="G546" t="inlineStr">
        <is>
          <t>Chennai</t>
        </is>
      </c>
      <c r="H546" t="inlineStr">
        <is>
          <t>Aramex</t>
        </is>
      </c>
      <c r="I546" t="inlineStr">
        <is>
          <t>Refrigerated Truck</t>
        </is>
      </c>
      <c r="J546" t="inlineStr">
        <is>
          <t>Normal</t>
        </is>
      </c>
      <c r="K546" t="inlineStr">
        <is>
          <t>Delivered</t>
        </is>
      </c>
      <c r="L546" t="n">
        <v>396.53</v>
      </c>
      <c r="M546" t="n">
        <v>951</v>
      </c>
      <c r="N546" t="n">
        <v>13.68</v>
      </c>
      <c r="O546" t="n">
        <v>402.74</v>
      </c>
      <c r="P546" t="n">
        <v>766.3</v>
      </c>
      <c r="Q546">
        <f>ROUND(L546*M546*N546/1000+O546+P546,2)</f>
        <v/>
      </c>
      <c r="R546" t="inlineStr">
        <is>
          <t>Yes</t>
        </is>
      </c>
      <c r="S546">
        <f>IF(OR(E546="",D546=""),"",MAX(0,E546-D546))</f>
        <v/>
      </c>
      <c r="T546" t="inlineStr">
        <is>
          <t>No</t>
        </is>
      </c>
      <c r="U546" t="n">
        <v>27</v>
      </c>
      <c r="V546" t="inlineStr">
        <is>
          <t>Paid</t>
        </is>
      </c>
      <c r="W546" t="n">
        <v>1</v>
      </c>
      <c r="X546" t="inlineStr">
        <is>
          <t>None</t>
        </is>
      </c>
    </row>
    <row r="547">
      <c r="A547" t="inlineStr">
        <is>
          <t>ORD-2026-00546</t>
        </is>
      </c>
      <c r="B547" t="inlineStr">
        <is>
          <t>CUST-0191</t>
        </is>
      </c>
      <c r="C547" s="3" t="n">
        <v>46134</v>
      </c>
      <c r="D547" s="3" t="n">
        <v>46135</v>
      </c>
      <c r="E547" s="3" t="n">
        <v>46136</v>
      </c>
      <c r="F547" t="inlineStr">
        <is>
          <t>Delhi</t>
        </is>
      </c>
      <c r="G547" t="inlineStr">
        <is>
          <t>Jaipur</t>
        </is>
      </c>
      <c r="H547" t="inlineStr">
        <is>
          <t>Maersk</t>
        </is>
      </c>
      <c r="I547" t="inlineStr">
        <is>
          <t>Refrigerated Truck</t>
        </is>
      </c>
      <c r="J547" t="inlineStr">
        <is>
          <t>Normal</t>
        </is>
      </c>
      <c r="K547" t="inlineStr">
        <is>
          <t>Delivered</t>
        </is>
      </c>
      <c r="L547" t="n">
        <v>70.03</v>
      </c>
      <c r="M547" t="n">
        <v>2231</v>
      </c>
      <c r="N547" t="n">
        <v>60.47</v>
      </c>
      <c r="O547" t="n">
        <v>328.08</v>
      </c>
      <c r="P547" t="n">
        <v>585.96</v>
      </c>
      <c r="Q547">
        <f>ROUND(L547*M547*N547/1000+O547+P547,2)</f>
        <v/>
      </c>
      <c r="R547" t="inlineStr">
        <is>
          <t>No</t>
        </is>
      </c>
      <c r="S547">
        <f>IF(OR(E547="",D547=""),"",MAX(0,E547-D547))</f>
        <v/>
      </c>
      <c r="T547" t="inlineStr">
        <is>
          <t>Yes</t>
        </is>
      </c>
      <c r="U547" t="n">
        <v>29</v>
      </c>
      <c r="V547" t="inlineStr">
        <is>
          <t>COD</t>
        </is>
      </c>
      <c r="W547" t="n">
        <v>2</v>
      </c>
      <c r="X547" t="inlineStr">
        <is>
          <t>Customs</t>
        </is>
      </c>
    </row>
    <row r="548">
      <c r="A548" t="inlineStr">
        <is>
          <t>ORD-2026-00547</t>
        </is>
      </c>
      <c r="B548" t="inlineStr">
        <is>
          <t>CUST-0161</t>
        </is>
      </c>
      <c r="C548" s="3" t="n">
        <v>46238</v>
      </c>
      <c r="D548" s="3" t="n">
        <v>46242</v>
      </c>
      <c r="E548" s="3" t="n">
        <v>46243</v>
      </c>
      <c r="F548" t="inlineStr">
        <is>
          <t>Ahmedabad</t>
        </is>
      </c>
      <c r="G548" t="inlineStr">
        <is>
          <t>Kolkata</t>
        </is>
      </c>
      <c r="H548" t="inlineStr">
        <is>
          <t>Aramex</t>
        </is>
      </c>
      <c r="I548" t="inlineStr">
        <is>
          <t>Van</t>
        </is>
      </c>
      <c r="J548" t="inlineStr">
        <is>
          <t>Low</t>
        </is>
      </c>
      <c r="K548" t="inlineStr">
        <is>
          <t>Delivered</t>
        </is>
      </c>
      <c r="L548" t="n">
        <v>945.58</v>
      </c>
      <c r="M548" t="n">
        <v>1071</v>
      </c>
      <c r="N548" t="n">
        <v>45.58</v>
      </c>
      <c r="O548" t="n">
        <v>2146.32</v>
      </c>
      <c r="P548" t="n">
        <v>1403.76</v>
      </c>
      <c r="Q548">
        <f>ROUND(L548*M548*N548/1000+O548+P548,2)</f>
        <v/>
      </c>
      <c r="R548" t="inlineStr">
        <is>
          <t>No</t>
        </is>
      </c>
      <c r="S548">
        <f>IF(OR(E548="",D548=""),"",MAX(0,E548-D548))</f>
        <v/>
      </c>
      <c r="T548" t="inlineStr">
        <is>
          <t>No</t>
        </is>
      </c>
      <c r="U548" t="n">
        <v>77</v>
      </c>
      <c r="V548" t="inlineStr">
        <is>
          <t>Paid</t>
        </is>
      </c>
      <c r="W548" t="n">
        <v>1</v>
      </c>
      <c r="X548" t="inlineStr">
        <is>
          <t>Address Error</t>
        </is>
      </c>
    </row>
    <row r="549">
      <c r="A549" t="inlineStr">
        <is>
          <t>ORD-2026-00548</t>
        </is>
      </c>
      <c r="B549" t="inlineStr">
        <is>
          <t>CUST-0204</t>
        </is>
      </c>
      <c r="C549" s="3" t="n">
        <v>46095</v>
      </c>
      <c r="D549" s="3" t="n">
        <v>46100</v>
      </c>
      <c r="E549" s="3" t="n">
        <v>46103</v>
      </c>
      <c r="F549" t="inlineStr">
        <is>
          <t>Ahmedabad</t>
        </is>
      </c>
      <c r="G549" t="inlineStr">
        <is>
          <t>Chennai</t>
        </is>
      </c>
      <c r="H549" t="inlineStr">
        <is>
          <t>BlueDart</t>
        </is>
      </c>
      <c r="I549" t="inlineStr">
        <is>
          <t>Container</t>
        </is>
      </c>
      <c r="J549" t="inlineStr">
        <is>
          <t>Low</t>
        </is>
      </c>
      <c r="K549" t="inlineStr">
        <is>
          <t>Delivered</t>
        </is>
      </c>
      <c r="L549" t="n">
        <v>1235.87</v>
      </c>
      <c r="M549" t="n">
        <v>1485</v>
      </c>
      <c r="N549" t="n">
        <v>60.02</v>
      </c>
      <c r="O549" t="n">
        <v>4679.11</v>
      </c>
      <c r="P549" t="n">
        <v>168.99</v>
      </c>
      <c r="Q549">
        <f>ROUND(L549*M549*N549/1000+O549+P549,2)</f>
        <v/>
      </c>
      <c r="R549" t="inlineStr">
        <is>
          <t>No</t>
        </is>
      </c>
      <c r="S549">
        <f>IF(OR(E549="",D549=""),"",MAX(0,E549-D549))</f>
        <v/>
      </c>
      <c r="T549" t="inlineStr">
        <is>
          <t>Yes</t>
        </is>
      </c>
      <c r="U549" t="n">
        <v>54</v>
      </c>
      <c r="V549" t="inlineStr">
        <is>
          <t>Failed</t>
        </is>
      </c>
      <c r="W549" t="n">
        <v>3</v>
      </c>
      <c r="X549" t="inlineStr">
        <is>
          <t>Damaged Package</t>
        </is>
      </c>
    </row>
    <row r="550">
      <c r="A550" t="inlineStr">
        <is>
          <t>ORD-2026-00549</t>
        </is>
      </c>
      <c r="B550" t="inlineStr">
        <is>
          <t>CUST-0089</t>
        </is>
      </c>
      <c r="C550" s="3" t="n">
        <v>46138</v>
      </c>
      <c r="D550" s="3" t="n">
        <v>46141</v>
      </c>
      <c r="E550" s="3" t="n"/>
      <c r="F550" t="inlineStr">
        <is>
          <t>Jaipur</t>
        </is>
      </c>
      <c r="G550" t="inlineStr">
        <is>
          <t>Kolkata</t>
        </is>
      </c>
      <c r="H550" t="inlineStr">
        <is>
          <t>DTDC</t>
        </is>
      </c>
      <c r="I550" t="inlineStr">
        <is>
          <t>Bike</t>
        </is>
      </c>
      <c r="J550" t="inlineStr">
        <is>
          <t>Low</t>
        </is>
      </c>
      <c r="K550" t="inlineStr">
        <is>
          <t>Booked</t>
        </is>
      </c>
      <c r="L550" t="n">
        <v>1649.34</v>
      </c>
      <c r="M550" t="n">
        <v>2590</v>
      </c>
      <c r="N550" t="n">
        <v>42.58</v>
      </c>
      <c r="O550" t="n">
        <v>5800.02</v>
      </c>
      <c r="P550" t="n">
        <v>1464.36</v>
      </c>
      <c r="Q550">
        <f>ROUND(L550*M550*N550/1000+O550+P550,2)</f>
        <v/>
      </c>
      <c r="R550" t="inlineStr">
        <is>
          <t>No</t>
        </is>
      </c>
      <c r="S550">
        <f>IF(OR(E550="",D550=""),"",MAX(0,E550-D550))</f>
        <v/>
      </c>
      <c r="T550" t="inlineStr">
        <is>
          <t>Yes</t>
        </is>
      </c>
      <c r="U550" t="n">
        <v>67</v>
      </c>
      <c r="V550" t="inlineStr">
        <is>
          <t>COD</t>
        </is>
      </c>
      <c r="W550" t="n">
        <v>1</v>
      </c>
      <c r="X550" t="inlineStr">
        <is>
          <t>Address Error</t>
        </is>
      </c>
    </row>
    <row r="551">
      <c r="A551" t="inlineStr">
        <is>
          <t>ORD-2026-00550</t>
        </is>
      </c>
      <c r="B551" t="inlineStr">
        <is>
          <t>CUST-0084</t>
        </is>
      </c>
      <c r="C551" s="3" t="n">
        <v>46178</v>
      </c>
      <c r="D551" s="3" t="n">
        <v>46179</v>
      </c>
      <c r="E551" s="3" t="n">
        <v>46179</v>
      </c>
      <c r="F551" t="inlineStr">
        <is>
          <t>Delhi</t>
        </is>
      </c>
      <c r="G551" t="inlineStr">
        <is>
          <t>Bengaluru</t>
        </is>
      </c>
      <c r="H551" t="inlineStr">
        <is>
          <t>BlueDart</t>
        </is>
      </c>
      <c r="I551" t="inlineStr">
        <is>
          <t>Truck</t>
        </is>
      </c>
      <c r="J551" t="inlineStr">
        <is>
          <t>High</t>
        </is>
      </c>
      <c r="K551" t="inlineStr">
        <is>
          <t>Delivered</t>
        </is>
      </c>
      <c r="L551" t="n">
        <v>1902.52</v>
      </c>
      <c r="M551" t="n">
        <v>890</v>
      </c>
      <c r="N551" t="n">
        <v>57.41</v>
      </c>
      <c r="O551" t="n">
        <v>3585.78</v>
      </c>
      <c r="P551" t="n">
        <v>341.1</v>
      </c>
      <c r="Q551">
        <f>ROUND(L551*M551*N551/1000+O551+P551,2)</f>
        <v/>
      </c>
      <c r="R551" t="inlineStr">
        <is>
          <t>Yes</t>
        </is>
      </c>
      <c r="S551">
        <f>IF(OR(E551="",D551=""),"",MAX(0,E551-D551))</f>
        <v/>
      </c>
      <c r="T551" t="inlineStr">
        <is>
          <t>No</t>
        </is>
      </c>
      <c r="U551" t="n">
        <v>62</v>
      </c>
      <c r="V551" t="inlineStr">
        <is>
          <t>Pending</t>
        </is>
      </c>
      <c r="W551" t="n">
        <v>1</v>
      </c>
      <c r="X551" t="inlineStr">
        <is>
          <t>Vehicle Breakdown</t>
        </is>
      </c>
    </row>
    <row r="552">
      <c r="A552" t="inlineStr">
        <is>
          <t>ORD-2026-00551</t>
        </is>
      </c>
      <c r="B552" t="inlineStr">
        <is>
          <t>CUST-0217</t>
        </is>
      </c>
      <c r="C552" s="3" t="n">
        <v>46204</v>
      </c>
      <c r="D552" s="3" t="n">
        <v>46209</v>
      </c>
      <c r="E552" s="3" t="n">
        <v>46209</v>
      </c>
      <c r="F552" t="inlineStr">
        <is>
          <t>Pune</t>
        </is>
      </c>
      <c r="G552" t="inlineStr">
        <is>
          <t>Chennai</t>
        </is>
      </c>
      <c r="H552" t="inlineStr">
        <is>
          <t>BlueDart</t>
        </is>
      </c>
      <c r="I552" t="inlineStr">
        <is>
          <t>Bike</t>
        </is>
      </c>
      <c r="J552" t="inlineStr">
        <is>
          <t>High</t>
        </is>
      </c>
      <c r="K552" t="inlineStr">
        <is>
          <t>Delivered</t>
        </is>
      </c>
      <c r="L552" t="n">
        <v>1090.44</v>
      </c>
      <c r="M552" t="n">
        <v>1643</v>
      </c>
      <c r="N552" t="n">
        <v>60.57</v>
      </c>
      <c r="O552" t="n">
        <v>4883.86</v>
      </c>
      <c r="P552" t="n">
        <v>312.86</v>
      </c>
      <c r="Q552">
        <f>ROUND(L552*M552*N552/1000+O552+P552,2)</f>
        <v/>
      </c>
      <c r="R552" t="inlineStr">
        <is>
          <t>Yes</t>
        </is>
      </c>
      <c r="S552">
        <f>IF(OR(E552="",D552=""),"",MAX(0,E552-D552))</f>
        <v/>
      </c>
      <c r="T552" t="inlineStr">
        <is>
          <t>Yes</t>
        </is>
      </c>
      <c r="U552" t="n">
        <v>27</v>
      </c>
      <c r="V552" t="inlineStr">
        <is>
          <t>Failed</t>
        </is>
      </c>
      <c r="W552" t="n">
        <v>4</v>
      </c>
      <c r="X552" t="inlineStr">
        <is>
          <t>Weather</t>
        </is>
      </c>
    </row>
    <row r="553">
      <c r="A553" t="inlineStr">
        <is>
          <t>ORD-2026-00552</t>
        </is>
      </c>
      <c r="B553" t="inlineStr">
        <is>
          <t>CUST-0210</t>
        </is>
      </c>
      <c r="C553" s="3" t="n">
        <v>46131</v>
      </c>
      <c r="D553" s="3" t="n">
        <v>46136</v>
      </c>
      <c r="E553" s="3" t="n">
        <v>46138</v>
      </c>
      <c r="F553" t="inlineStr">
        <is>
          <t>Mumbai</t>
        </is>
      </c>
      <c r="G553" t="inlineStr">
        <is>
          <t>Jaipur</t>
        </is>
      </c>
      <c r="H553" t="inlineStr">
        <is>
          <t>DHL</t>
        </is>
      </c>
      <c r="I553" t="inlineStr">
        <is>
          <t>Van</t>
        </is>
      </c>
      <c r="J553" t="inlineStr">
        <is>
          <t>High</t>
        </is>
      </c>
      <c r="K553" t="inlineStr">
        <is>
          <t>Delivered</t>
        </is>
      </c>
      <c r="L553" t="n">
        <v>1518.44</v>
      </c>
      <c r="M553" t="n">
        <v>1763</v>
      </c>
      <c r="N553" t="n">
        <v>19.38</v>
      </c>
      <c r="O553" t="n">
        <v>2654.98</v>
      </c>
      <c r="P553" t="n">
        <v>1348.88</v>
      </c>
      <c r="Q553">
        <f>ROUND(L553*M553*N553/1000+O553+P553,2)</f>
        <v/>
      </c>
      <c r="R553" t="inlineStr">
        <is>
          <t>No</t>
        </is>
      </c>
      <c r="S553">
        <f>IF(OR(E553="",D553=""),"",MAX(0,E553-D553))</f>
        <v/>
      </c>
      <c r="T553" t="inlineStr">
        <is>
          <t>No</t>
        </is>
      </c>
      <c r="U553" t="n">
        <v>38</v>
      </c>
      <c r="V553" t="inlineStr">
        <is>
          <t>COD</t>
        </is>
      </c>
      <c r="W553" t="n">
        <v>4</v>
      </c>
      <c r="X553" t="inlineStr">
        <is>
          <t>None</t>
        </is>
      </c>
    </row>
    <row r="554">
      <c r="A554" t="inlineStr">
        <is>
          <t>ORD-2026-00553</t>
        </is>
      </c>
      <c r="B554" t="inlineStr">
        <is>
          <t>CUST-0200</t>
        </is>
      </c>
      <c r="C554" s="3" t="n">
        <v>46052</v>
      </c>
      <c r="D554" s="3" t="n">
        <v>46055</v>
      </c>
      <c r="E554" s="3" t="n">
        <v>46057</v>
      </c>
      <c r="F554" t="inlineStr">
        <is>
          <t>Hyderabad</t>
        </is>
      </c>
      <c r="G554" t="inlineStr">
        <is>
          <t>Mumbai</t>
        </is>
      </c>
      <c r="H554" t="inlineStr">
        <is>
          <t>BlueDart</t>
        </is>
      </c>
      <c r="I554" t="inlineStr">
        <is>
          <t>Refrigerated Truck</t>
        </is>
      </c>
      <c r="J554" t="inlineStr">
        <is>
          <t>Low</t>
        </is>
      </c>
      <c r="K554" t="inlineStr">
        <is>
          <t>Delivered</t>
        </is>
      </c>
      <c r="L554" t="n">
        <v>465.19</v>
      </c>
      <c r="M554" t="n">
        <v>1009</v>
      </c>
      <c r="N554" t="n">
        <v>12.14</v>
      </c>
      <c r="O554" t="n">
        <v>395.56</v>
      </c>
      <c r="P554" t="n">
        <v>570.51</v>
      </c>
      <c r="Q554">
        <f>ROUND(L554*M554*N554/1000+O554+P554,2)</f>
        <v/>
      </c>
      <c r="R554" t="inlineStr">
        <is>
          <t>No</t>
        </is>
      </c>
      <c r="S554">
        <f>IF(OR(E554="",D554=""),"",MAX(0,E554-D554))</f>
        <v/>
      </c>
      <c r="T554" t="inlineStr">
        <is>
          <t>No</t>
        </is>
      </c>
      <c r="U554" t="n">
        <v>28</v>
      </c>
      <c r="V554" t="inlineStr">
        <is>
          <t>Failed</t>
        </is>
      </c>
      <c r="W554" t="n">
        <v>5</v>
      </c>
      <c r="X554" t="inlineStr">
        <is>
          <t>Customer Unavailable</t>
        </is>
      </c>
    </row>
    <row r="555">
      <c r="A555" t="inlineStr">
        <is>
          <t>ORD-2026-00554</t>
        </is>
      </c>
      <c r="B555" t="inlineStr">
        <is>
          <t>CUST-0243</t>
        </is>
      </c>
      <c r="C555" s="3" t="n">
        <v>46105</v>
      </c>
      <c r="D555" s="3" t="n">
        <v>46109</v>
      </c>
      <c r="E555" s="3" t="n">
        <v>46110</v>
      </c>
      <c r="F555" t="inlineStr">
        <is>
          <t>Mumbai</t>
        </is>
      </c>
      <c r="G555" t="inlineStr">
        <is>
          <t>Kolkata</t>
        </is>
      </c>
      <c r="H555" t="inlineStr">
        <is>
          <t>Maersk</t>
        </is>
      </c>
      <c r="I555" t="inlineStr">
        <is>
          <t>Container</t>
        </is>
      </c>
      <c r="J555" t="inlineStr">
        <is>
          <t>Critical</t>
        </is>
      </c>
      <c r="K555" t="inlineStr">
        <is>
          <t>Delivered</t>
        </is>
      </c>
      <c r="L555" t="n">
        <v>1504.7</v>
      </c>
      <c r="M555" t="n">
        <v>2164</v>
      </c>
      <c r="N555" t="n">
        <v>20.4</v>
      </c>
      <c r="O555" t="n">
        <v>4228.51</v>
      </c>
      <c r="P555" t="n">
        <v>1080.07</v>
      </c>
      <c r="Q555">
        <f>ROUND(L555*M555*N555/1000+O555+P555,2)</f>
        <v/>
      </c>
      <c r="R555" t="inlineStr">
        <is>
          <t>No</t>
        </is>
      </c>
      <c r="S555">
        <f>IF(OR(E555="",D555=""),"",MAX(0,E555-D555))</f>
        <v/>
      </c>
      <c r="T555" t="inlineStr">
        <is>
          <t>No</t>
        </is>
      </c>
      <c r="U555" t="n">
        <v>41</v>
      </c>
      <c r="V555" t="inlineStr">
        <is>
          <t>Pending</t>
        </is>
      </c>
      <c r="W555" t="n">
        <v>2</v>
      </c>
      <c r="X555" t="inlineStr">
        <is>
          <t>None</t>
        </is>
      </c>
    </row>
    <row r="556">
      <c r="A556" t="inlineStr">
        <is>
          <t>ORD-2026-00555</t>
        </is>
      </c>
      <c r="B556" t="inlineStr">
        <is>
          <t>CUST-0061</t>
        </is>
      </c>
      <c r="C556" s="3" t="n">
        <v>46228</v>
      </c>
      <c r="D556" s="3" t="n">
        <v>46236</v>
      </c>
      <c r="E556" s="3" t="n">
        <v>46236</v>
      </c>
      <c r="F556" t="inlineStr">
        <is>
          <t>Kolkata</t>
        </is>
      </c>
      <c r="G556" t="inlineStr">
        <is>
          <t>Ahmedabad</t>
        </is>
      </c>
      <c r="H556" t="inlineStr">
        <is>
          <t>FedEx</t>
        </is>
      </c>
      <c r="I556" t="inlineStr">
        <is>
          <t>Van</t>
        </is>
      </c>
      <c r="J556" t="inlineStr">
        <is>
          <t>Low</t>
        </is>
      </c>
      <c r="K556" t="inlineStr">
        <is>
          <t>Delivered</t>
        </is>
      </c>
      <c r="L556" t="n">
        <v>1053.38</v>
      </c>
      <c r="M556" t="n">
        <v>513</v>
      </c>
      <c r="N556" t="n">
        <v>33.81</v>
      </c>
      <c r="O556" t="n">
        <v>1207.41</v>
      </c>
      <c r="P556" t="n">
        <v>894.9299999999999</v>
      </c>
      <c r="Q556">
        <f>ROUND(L556*M556*N556/1000+O556+P556,2)</f>
        <v/>
      </c>
      <c r="R556" t="inlineStr">
        <is>
          <t>Yes</t>
        </is>
      </c>
      <c r="S556">
        <f>IF(OR(E556="",D556=""),"",MAX(0,E556-D556))</f>
        <v/>
      </c>
      <c r="T556" t="inlineStr">
        <is>
          <t>No</t>
        </is>
      </c>
      <c r="U556" t="n">
        <v>37</v>
      </c>
      <c r="V556" t="inlineStr">
        <is>
          <t>Pending</t>
        </is>
      </c>
      <c r="W556" t="n">
        <v>4</v>
      </c>
      <c r="X556" t="inlineStr">
        <is>
          <t>None</t>
        </is>
      </c>
    </row>
    <row r="557">
      <c r="A557" t="inlineStr">
        <is>
          <t>ORD-2026-00556</t>
        </is>
      </c>
      <c r="B557" t="inlineStr">
        <is>
          <t>CUST-0103</t>
        </is>
      </c>
      <c r="C557" s="3" t="n">
        <v>46159</v>
      </c>
      <c r="D557" s="3" t="n">
        <v>46160</v>
      </c>
      <c r="E557" s="3" t="n"/>
      <c r="F557" t="inlineStr">
        <is>
          <t>Mumbai</t>
        </is>
      </c>
      <c r="G557" t="inlineStr">
        <is>
          <t>Surat</t>
        </is>
      </c>
      <c r="H557" t="inlineStr">
        <is>
          <t>Aramex</t>
        </is>
      </c>
      <c r="I557" t="inlineStr">
        <is>
          <t>Refrigerated Truck</t>
        </is>
      </c>
      <c r="J557" t="inlineStr">
        <is>
          <t>Critical</t>
        </is>
      </c>
      <c r="K557" t="inlineStr">
        <is>
          <t>Exception</t>
        </is>
      </c>
      <c r="L557" t="n">
        <v>238.25</v>
      </c>
      <c r="M557" t="n">
        <v>1705</v>
      </c>
      <c r="N557" t="n">
        <v>49.23</v>
      </c>
      <c r="O557" t="n">
        <v>929.52</v>
      </c>
      <c r="P557" t="n">
        <v>1135.46</v>
      </c>
      <c r="Q557">
        <f>ROUND(L557*M557*N557/1000+O557+P557,2)</f>
        <v/>
      </c>
      <c r="R557" t="inlineStr">
        <is>
          <t>No</t>
        </is>
      </c>
      <c r="S557">
        <f>IF(OR(E557="",D557=""),"",MAX(0,E557-D557))</f>
        <v/>
      </c>
      <c r="T557" t="inlineStr">
        <is>
          <t>Yes</t>
        </is>
      </c>
      <c r="U557" t="n">
        <v>51</v>
      </c>
      <c r="V557" t="inlineStr">
        <is>
          <t>COD</t>
        </is>
      </c>
      <c r="W557" t="n">
        <v>4</v>
      </c>
      <c r="X557" t="inlineStr">
        <is>
          <t>Weather</t>
        </is>
      </c>
    </row>
    <row r="558">
      <c r="A558" t="inlineStr">
        <is>
          <t>ORD-2026-00557</t>
        </is>
      </c>
      <c r="B558" t="inlineStr">
        <is>
          <t>CUST-0083</t>
        </is>
      </c>
      <c r="C558" s="3" t="n">
        <v>46240</v>
      </c>
      <c r="D558" s="3" t="n">
        <v>46242</v>
      </c>
      <c r="E558" s="3" t="n">
        <v>46245</v>
      </c>
      <c r="F558" t="inlineStr">
        <is>
          <t>Chennai</t>
        </is>
      </c>
      <c r="G558" t="inlineStr">
        <is>
          <t>Bengaluru</t>
        </is>
      </c>
      <c r="H558" t="inlineStr">
        <is>
          <t>DHL</t>
        </is>
      </c>
      <c r="I558" t="inlineStr">
        <is>
          <t>Van</t>
        </is>
      </c>
      <c r="J558" t="inlineStr">
        <is>
          <t>Normal</t>
        </is>
      </c>
      <c r="K558" t="inlineStr">
        <is>
          <t>Delivered</t>
        </is>
      </c>
      <c r="L558" t="n">
        <v>257.31</v>
      </c>
      <c r="M558" t="n">
        <v>922</v>
      </c>
      <c r="N558" t="n">
        <v>10.73</v>
      </c>
      <c r="O558" t="n">
        <v>77.95999999999999</v>
      </c>
      <c r="P558" t="n">
        <v>175.6</v>
      </c>
      <c r="Q558">
        <f>ROUND(L558*M558*N558/1000+O558+P558,2)</f>
        <v/>
      </c>
      <c r="R558" t="inlineStr">
        <is>
          <t>No</t>
        </is>
      </c>
      <c r="S558">
        <f>IF(OR(E558="",D558=""),"",MAX(0,E558-D558))</f>
        <v/>
      </c>
      <c r="T558" t="inlineStr">
        <is>
          <t>No</t>
        </is>
      </c>
      <c r="U558" t="n">
        <v>69</v>
      </c>
      <c r="V558" t="inlineStr">
        <is>
          <t>Paid</t>
        </is>
      </c>
      <c r="W558" t="n">
        <v>1</v>
      </c>
      <c r="X558" t="inlineStr">
        <is>
          <t>Vehicle Breakdown</t>
        </is>
      </c>
    </row>
    <row r="559">
      <c r="A559" t="inlineStr">
        <is>
          <t>ORD-2026-00558</t>
        </is>
      </c>
      <c r="B559" t="inlineStr">
        <is>
          <t>CUST-0179</t>
        </is>
      </c>
      <c r="C559" s="3" t="n">
        <v>46223</v>
      </c>
      <c r="D559" s="3" t="n">
        <v>46224</v>
      </c>
      <c r="E559" s="3" t="n">
        <v>46224</v>
      </c>
      <c r="F559" t="inlineStr">
        <is>
          <t>Delhi</t>
        </is>
      </c>
      <c r="G559" t="inlineStr">
        <is>
          <t>Delhi</t>
        </is>
      </c>
      <c r="H559" t="inlineStr">
        <is>
          <t>DTDC</t>
        </is>
      </c>
      <c r="I559" t="inlineStr">
        <is>
          <t>Container</t>
        </is>
      </c>
      <c r="J559" t="inlineStr">
        <is>
          <t>Low</t>
        </is>
      </c>
      <c r="K559" t="inlineStr">
        <is>
          <t>Delivered</t>
        </is>
      </c>
      <c r="L559" t="n">
        <v>188.07</v>
      </c>
      <c r="M559" t="n">
        <v>1353</v>
      </c>
      <c r="N559" t="n">
        <v>47.21</v>
      </c>
      <c r="O559" t="n">
        <v>930.98</v>
      </c>
      <c r="P559" t="n">
        <v>581.74</v>
      </c>
      <c r="Q559">
        <f>ROUND(L559*M559*N559/1000+O559+P559,2)</f>
        <v/>
      </c>
      <c r="R559" t="inlineStr">
        <is>
          <t>Yes</t>
        </is>
      </c>
      <c r="S559">
        <f>IF(OR(E559="",D559=""),"",MAX(0,E559-D559))</f>
        <v/>
      </c>
      <c r="T559" t="inlineStr">
        <is>
          <t>Yes</t>
        </is>
      </c>
      <c r="U559" t="n">
        <v>41</v>
      </c>
      <c r="V559" t="inlineStr">
        <is>
          <t>Pending</t>
        </is>
      </c>
      <c r="W559" t="n">
        <v>5</v>
      </c>
      <c r="X559" t="inlineStr">
        <is>
          <t>Customer Unavailable</t>
        </is>
      </c>
    </row>
    <row r="560">
      <c r="A560" t="inlineStr">
        <is>
          <t>ORD-2026-00559</t>
        </is>
      </c>
      <c r="B560" t="inlineStr">
        <is>
          <t>CUST-0188</t>
        </is>
      </c>
      <c r="C560" s="3" t="n">
        <v>46128</v>
      </c>
      <c r="D560" s="3" t="n">
        <v>46136</v>
      </c>
      <c r="E560" s="3" t="n">
        <v>46137</v>
      </c>
      <c r="F560" t="inlineStr">
        <is>
          <t>Jaipur</t>
        </is>
      </c>
      <c r="G560" t="inlineStr">
        <is>
          <t>Bengaluru</t>
        </is>
      </c>
      <c r="H560" t="inlineStr">
        <is>
          <t>BlueDart</t>
        </is>
      </c>
      <c r="I560" t="inlineStr">
        <is>
          <t>Refrigerated Truck</t>
        </is>
      </c>
      <c r="J560" t="inlineStr">
        <is>
          <t>High</t>
        </is>
      </c>
      <c r="K560" t="inlineStr">
        <is>
          <t>Delivered</t>
        </is>
      </c>
      <c r="L560" t="n">
        <v>601.6900000000001</v>
      </c>
      <c r="M560" t="n">
        <v>1962</v>
      </c>
      <c r="N560" t="n">
        <v>45.69</v>
      </c>
      <c r="O560" t="n">
        <v>4777.86</v>
      </c>
      <c r="P560" t="n">
        <v>496.43</v>
      </c>
      <c r="Q560">
        <f>ROUND(L560*M560*N560/1000+O560+P560,2)</f>
        <v/>
      </c>
      <c r="R560" t="inlineStr">
        <is>
          <t>No</t>
        </is>
      </c>
      <c r="S560">
        <f>IF(OR(E560="",D560=""),"",MAX(0,E560-D560))</f>
        <v/>
      </c>
      <c r="T560" t="inlineStr">
        <is>
          <t>Yes</t>
        </is>
      </c>
      <c r="U560" t="n">
        <v>46</v>
      </c>
      <c r="V560" t="inlineStr">
        <is>
          <t>Pending</t>
        </is>
      </c>
      <c r="W560" t="n">
        <v>2</v>
      </c>
      <c r="X560" t="inlineStr">
        <is>
          <t>Damaged Package</t>
        </is>
      </c>
    </row>
    <row r="561">
      <c r="A561" t="inlineStr">
        <is>
          <t>ORD-2026-00560</t>
        </is>
      </c>
      <c r="B561" t="inlineStr">
        <is>
          <t>CUST-0054</t>
        </is>
      </c>
      <c r="C561" s="3" t="n">
        <v>46042</v>
      </c>
      <c r="D561" s="3" t="n">
        <v>46044</v>
      </c>
      <c r="E561" s="3" t="n"/>
      <c r="F561" t="inlineStr">
        <is>
          <t>Kolkata</t>
        </is>
      </c>
      <c r="G561" t="inlineStr">
        <is>
          <t>Surat</t>
        </is>
      </c>
      <c r="H561" t="inlineStr">
        <is>
          <t>DTDC</t>
        </is>
      </c>
      <c r="I561" t="inlineStr">
        <is>
          <t>Refrigerated Truck</t>
        </is>
      </c>
      <c r="J561" t="inlineStr">
        <is>
          <t>High</t>
        </is>
      </c>
      <c r="K561" t="inlineStr">
        <is>
          <t>In Transit</t>
        </is>
      </c>
      <c r="L561" t="n">
        <v>1676.41</v>
      </c>
      <c r="M561" t="n">
        <v>1922</v>
      </c>
      <c r="N561" t="n">
        <v>54.66</v>
      </c>
      <c r="O561" t="n">
        <v>7269.27</v>
      </c>
      <c r="P561" t="n">
        <v>174.71</v>
      </c>
      <c r="Q561">
        <f>ROUND(L561*M561*N561/1000+O561+P561,2)</f>
        <v/>
      </c>
      <c r="R561" t="inlineStr">
        <is>
          <t>No</t>
        </is>
      </c>
      <c r="S561">
        <f>IF(OR(E561="",D561=""),"",MAX(0,E561-D561))</f>
        <v/>
      </c>
      <c r="T561" t="inlineStr">
        <is>
          <t>No</t>
        </is>
      </c>
      <c r="U561" t="n">
        <v>20</v>
      </c>
      <c r="V561" t="inlineStr">
        <is>
          <t>Paid</t>
        </is>
      </c>
      <c r="W561" t="n">
        <v>2</v>
      </c>
      <c r="X561" t="inlineStr">
        <is>
          <t>Address Error</t>
        </is>
      </c>
    </row>
    <row r="562">
      <c r="A562" t="inlineStr">
        <is>
          <t>ORD-2026-00561</t>
        </is>
      </c>
      <c r="B562" t="inlineStr">
        <is>
          <t>CUST-0079</t>
        </is>
      </c>
      <c r="C562" s="3" t="n">
        <v>46116</v>
      </c>
      <c r="D562" s="3" t="n">
        <v>46123</v>
      </c>
      <c r="E562" s="3" t="n">
        <v>46133</v>
      </c>
      <c r="F562" t="inlineStr">
        <is>
          <t>Kolkata</t>
        </is>
      </c>
      <c r="G562" t="inlineStr">
        <is>
          <t>Mumbai</t>
        </is>
      </c>
      <c r="H562" t="inlineStr">
        <is>
          <t>DHL</t>
        </is>
      </c>
      <c r="I562" t="inlineStr">
        <is>
          <t>Container</t>
        </is>
      </c>
      <c r="J562" t="inlineStr">
        <is>
          <t>Low</t>
        </is>
      </c>
      <c r="K562" t="inlineStr">
        <is>
          <t>Delivered</t>
        </is>
      </c>
      <c r="L562" t="n">
        <v>1283.9</v>
      </c>
      <c r="M562" t="n">
        <v>1644</v>
      </c>
      <c r="N562" t="n">
        <v>18.71</v>
      </c>
      <c r="O562" t="n">
        <v>1843.09</v>
      </c>
      <c r="P562" t="n">
        <v>263.01</v>
      </c>
      <c r="Q562">
        <f>ROUND(L562*M562*N562/1000+O562+P562,2)</f>
        <v/>
      </c>
      <c r="R562" t="inlineStr">
        <is>
          <t>No</t>
        </is>
      </c>
      <c r="S562">
        <f>IF(OR(E562="",D562=""),"",MAX(0,E562-D562))</f>
        <v/>
      </c>
      <c r="T562" t="inlineStr">
        <is>
          <t>Yes</t>
        </is>
      </c>
      <c r="U562" t="n">
        <v>31</v>
      </c>
      <c r="V562" t="inlineStr">
        <is>
          <t>Paid</t>
        </is>
      </c>
      <c r="W562" t="n">
        <v>4</v>
      </c>
      <c r="X562" t="inlineStr">
        <is>
          <t>Address Error</t>
        </is>
      </c>
    </row>
    <row r="563">
      <c r="A563" t="inlineStr">
        <is>
          <t>ORD-2026-00562</t>
        </is>
      </c>
      <c r="B563" t="inlineStr">
        <is>
          <t>CUST-0039</t>
        </is>
      </c>
      <c r="C563" s="3" t="n">
        <v>46091</v>
      </c>
      <c r="D563" s="3" t="n">
        <v>46092</v>
      </c>
      <c r="E563" s="3" t="n">
        <v>46092</v>
      </c>
      <c r="F563" t="inlineStr">
        <is>
          <t>Chennai</t>
        </is>
      </c>
      <c r="G563" t="inlineStr">
        <is>
          <t>Surat</t>
        </is>
      </c>
      <c r="H563" t="inlineStr">
        <is>
          <t>Delhivery</t>
        </is>
      </c>
      <c r="I563" t="inlineStr">
        <is>
          <t>Bike</t>
        </is>
      </c>
      <c r="J563" t="inlineStr">
        <is>
          <t>High</t>
        </is>
      </c>
      <c r="K563" t="inlineStr">
        <is>
          <t>Delivered</t>
        </is>
      </c>
      <c r="L563" t="n">
        <v>880.22</v>
      </c>
      <c r="M563" t="n">
        <v>489</v>
      </c>
      <c r="N563" t="n">
        <v>60.83</v>
      </c>
      <c r="O563" t="n">
        <v>917.55</v>
      </c>
      <c r="P563" t="n">
        <v>658.58</v>
      </c>
      <c r="Q563">
        <f>ROUND(L563*M563*N563/1000+O563+P563,2)</f>
        <v/>
      </c>
      <c r="R563" t="inlineStr">
        <is>
          <t>Yes</t>
        </is>
      </c>
      <c r="S563">
        <f>IF(OR(E563="",D563=""),"",MAX(0,E563-D563))</f>
        <v/>
      </c>
      <c r="T563" t="inlineStr">
        <is>
          <t>Yes</t>
        </is>
      </c>
      <c r="U563" t="n">
        <v>57</v>
      </c>
      <c r="V563" t="inlineStr">
        <is>
          <t>COD</t>
        </is>
      </c>
      <c r="W563" t="n">
        <v>3</v>
      </c>
      <c r="X563" t="inlineStr">
        <is>
          <t>None</t>
        </is>
      </c>
    </row>
    <row r="564">
      <c r="A564" t="inlineStr">
        <is>
          <t>ORD-2026-00563</t>
        </is>
      </c>
      <c r="B564" t="inlineStr">
        <is>
          <t>CUST-0133</t>
        </is>
      </c>
      <c r="C564" s="3" t="n">
        <v>46035</v>
      </c>
      <c r="D564" s="3" t="n">
        <v>46042</v>
      </c>
      <c r="E564" s="3" t="n">
        <v>46044</v>
      </c>
      <c r="F564" t="inlineStr">
        <is>
          <t>Chennai</t>
        </is>
      </c>
      <c r="G564" t="inlineStr">
        <is>
          <t>Mumbai</t>
        </is>
      </c>
      <c r="H564" t="inlineStr">
        <is>
          <t>Maersk</t>
        </is>
      </c>
      <c r="I564" t="inlineStr">
        <is>
          <t>Van</t>
        </is>
      </c>
      <c r="J564" t="inlineStr">
        <is>
          <t>Normal</t>
        </is>
      </c>
      <c r="K564" t="inlineStr">
        <is>
          <t>Delivered</t>
        </is>
      </c>
      <c r="L564" t="n">
        <v>735.37</v>
      </c>
      <c r="M564" t="n">
        <v>1654</v>
      </c>
      <c r="N564" t="n">
        <v>18.07</v>
      </c>
      <c r="O564" t="n">
        <v>1023.22</v>
      </c>
      <c r="P564" t="n">
        <v>919.02</v>
      </c>
      <c r="Q564">
        <f>ROUND(L564*M564*N564/1000+O564+P564,2)</f>
        <v/>
      </c>
      <c r="R564" t="inlineStr">
        <is>
          <t>No</t>
        </is>
      </c>
      <c r="S564">
        <f>IF(OR(E564="",D564=""),"",MAX(0,E564-D564))</f>
        <v/>
      </c>
      <c r="T564" t="inlineStr">
        <is>
          <t>Yes</t>
        </is>
      </c>
      <c r="U564" t="n">
        <v>29</v>
      </c>
      <c r="V564" t="inlineStr">
        <is>
          <t>Paid</t>
        </is>
      </c>
      <c r="W564" t="n">
        <v>1</v>
      </c>
      <c r="X564" t="inlineStr">
        <is>
          <t>None</t>
        </is>
      </c>
    </row>
    <row r="565">
      <c r="A565" t="inlineStr">
        <is>
          <t>ORD-2026-00564</t>
        </is>
      </c>
      <c r="B565" t="inlineStr">
        <is>
          <t>CUST-0057</t>
        </is>
      </c>
      <c r="C565" s="3" t="n">
        <v>46170</v>
      </c>
      <c r="D565" s="3" t="n">
        <v>46175</v>
      </c>
      <c r="E565" s="3" t="n">
        <v>46175</v>
      </c>
      <c r="F565" t="inlineStr">
        <is>
          <t>Pune</t>
        </is>
      </c>
      <c r="G565" t="inlineStr">
        <is>
          <t>Jaipur</t>
        </is>
      </c>
      <c r="H565" t="inlineStr">
        <is>
          <t>DHL</t>
        </is>
      </c>
      <c r="I565" t="inlineStr">
        <is>
          <t>Truck</t>
        </is>
      </c>
      <c r="J565" t="inlineStr">
        <is>
          <t>Normal</t>
        </is>
      </c>
      <c r="K565" t="inlineStr">
        <is>
          <t>Delivered</t>
        </is>
      </c>
      <c r="L565" t="n">
        <v>689.01</v>
      </c>
      <c r="M565" t="n">
        <v>2545</v>
      </c>
      <c r="N565" t="n">
        <v>47.87</v>
      </c>
      <c r="O565" t="n">
        <v>4555.8</v>
      </c>
      <c r="P565" t="n">
        <v>601.47</v>
      </c>
      <c r="Q565">
        <f>ROUND(L565*M565*N565/1000+O565+P565,2)</f>
        <v/>
      </c>
      <c r="R565" t="inlineStr">
        <is>
          <t>Yes</t>
        </is>
      </c>
      <c r="S565">
        <f>IF(OR(E565="",D565=""),"",MAX(0,E565-D565))</f>
        <v/>
      </c>
      <c r="T565" t="inlineStr">
        <is>
          <t>No</t>
        </is>
      </c>
      <c r="U565" t="n">
        <v>37</v>
      </c>
      <c r="V565" t="inlineStr">
        <is>
          <t>COD</t>
        </is>
      </c>
      <c r="W565" t="n">
        <v>1</v>
      </c>
      <c r="X565" t="inlineStr">
        <is>
          <t>None</t>
        </is>
      </c>
    </row>
    <row r="566">
      <c r="A566" t="inlineStr">
        <is>
          <t>ORD-2026-00565</t>
        </is>
      </c>
      <c r="B566" t="inlineStr">
        <is>
          <t>CUST-0231</t>
        </is>
      </c>
      <c r="C566" s="3" t="n">
        <v>46070</v>
      </c>
      <c r="D566" s="3" t="n">
        <v>46078</v>
      </c>
      <c r="E566" s="3" t="n">
        <v>46080</v>
      </c>
      <c r="F566" t="inlineStr">
        <is>
          <t>Jaipur</t>
        </is>
      </c>
      <c r="G566" t="inlineStr">
        <is>
          <t>Delhi</t>
        </is>
      </c>
      <c r="H566" t="inlineStr">
        <is>
          <t>BlueDart</t>
        </is>
      </c>
      <c r="I566" t="inlineStr">
        <is>
          <t>Container</t>
        </is>
      </c>
      <c r="J566" t="inlineStr">
        <is>
          <t>Critical</t>
        </is>
      </c>
      <c r="K566" t="inlineStr">
        <is>
          <t>Delivered</t>
        </is>
      </c>
      <c r="L566" t="n">
        <v>1720</v>
      </c>
      <c r="M566" t="n">
        <v>702</v>
      </c>
      <c r="N566" t="n">
        <v>25.96</v>
      </c>
      <c r="O566" t="n">
        <v>1070.98</v>
      </c>
      <c r="P566" t="n">
        <v>297.27</v>
      </c>
      <c r="Q566">
        <f>ROUND(L566*M566*N566/1000+O566+P566,2)</f>
        <v/>
      </c>
      <c r="R566" t="inlineStr">
        <is>
          <t>No</t>
        </is>
      </c>
      <c r="S566">
        <f>IF(OR(E566="",D566=""),"",MAX(0,E566-D566))</f>
        <v/>
      </c>
      <c r="T566" t="inlineStr">
        <is>
          <t>No</t>
        </is>
      </c>
      <c r="U566" t="n">
        <v>3</v>
      </c>
      <c r="V566" t="inlineStr">
        <is>
          <t>Pending</t>
        </is>
      </c>
      <c r="W566" t="n">
        <v>3</v>
      </c>
      <c r="X566" t="inlineStr">
        <is>
          <t>None</t>
        </is>
      </c>
    </row>
    <row r="567">
      <c r="A567" t="inlineStr">
        <is>
          <t>ORD-2026-00566</t>
        </is>
      </c>
      <c r="B567" t="inlineStr">
        <is>
          <t>CUST-0005</t>
        </is>
      </c>
      <c r="C567" s="3" t="n">
        <v>46066</v>
      </c>
      <c r="D567" s="3" t="n">
        <v>46067</v>
      </c>
      <c r="E567" s="3" t="n">
        <v>46068</v>
      </c>
      <c r="F567" t="inlineStr">
        <is>
          <t>Kolkata</t>
        </is>
      </c>
      <c r="G567" t="inlineStr">
        <is>
          <t>Pune</t>
        </is>
      </c>
      <c r="H567" t="inlineStr">
        <is>
          <t>Aramex</t>
        </is>
      </c>
      <c r="I567" t="inlineStr">
        <is>
          <t>Truck</t>
        </is>
      </c>
      <c r="J567" t="inlineStr">
        <is>
          <t>Normal</t>
        </is>
      </c>
      <c r="K567" t="inlineStr">
        <is>
          <t>Delivered</t>
        </is>
      </c>
      <c r="L567" t="n">
        <v>1458.11</v>
      </c>
      <c r="M567" t="n">
        <v>2005</v>
      </c>
      <c r="N567" t="n">
        <v>57.77</v>
      </c>
      <c r="O567" t="n">
        <v>9855.49</v>
      </c>
      <c r="P567" t="n">
        <v>86.86</v>
      </c>
      <c r="Q567">
        <f>ROUND(L567*M567*N567/1000+O567+P567,2)</f>
        <v/>
      </c>
      <c r="R567" t="inlineStr">
        <is>
          <t>No</t>
        </is>
      </c>
      <c r="S567">
        <f>IF(OR(E567="",D567=""),"",MAX(0,E567-D567))</f>
        <v/>
      </c>
      <c r="T567" t="inlineStr">
        <is>
          <t>Yes</t>
        </is>
      </c>
      <c r="U567" t="n">
        <v>13</v>
      </c>
      <c r="V567" t="inlineStr">
        <is>
          <t>Paid</t>
        </is>
      </c>
      <c r="W567" t="n">
        <v>3</v>
      </c>
      <c r="X567" t="inlineStr">
        <is>
          <t>Customer Unavailable</t>
        </is>
      </c>
    </row>
    <row r="568">
      <c r="A568" t="inlineStr">
        <is>
          <t>ORD-2026-00567</t>
        </is>
      </c>
      <c r="B568" t="inlineStr">
        <is>
          <t>CUST-0212</t>
        </is>
      </c>
      <c r="C568" s="3" t="n">
        <v>46211</v>
      </c>
      <c r="D568" s="3" t="n">
        <v>46217</v>
      </c>
      <c r="E568" s="3" t="n">
        <v>46217</v>
      </c>
      <c r="F568" t="inlineStr">
        <is>
          <t>Hyderabad</t>
        </is>
      </c>
      <c r="G568" t="inlineStr">
        <is>
          <t>Pune</t>
        </is>
      </c>
      <c r="H568" t="inlineStr">
        <is>
          <t>Maersk</t>
        </is>
      </c>
      <c r="I568" t="inlineStr">
        <is>
          <t>Refrigerated Truck</t>
        </is>
      </c>
      <c r="J568" t="inlineStr">
        <is>
          <t>Critical</t>
        </is>
      </c>
      <c r="K568" t="inlineStr">
        <is>
          <t>Delivered</t>
        </is>
      </c>
      <c r="L568" t="n">
        <v>2474.49</v>
      </c>
      <c r="M568" t="n">
        <v>1059</v>
      </c>
      <c r="N568" t="n">
        <v>45.81</v>
      </c>
      <c r="O568" t="n">
        <v>5427.47</v>
      </c>
      <c r="P568" t="n">
        <v>698.95</v>
      </c>
      <c r="Q568">
        <f>ROUND(L568*M568*N568/1000+O568+P568,2)</f>
        <v/>
      </c>
      <c r="R568" t="inlineStr">
        <is>
          <t>Yes</t>
        </is>
      </c>
      <c r="S568">
        <f>IF(OR(E568="",D568=""),"",MAX(0,E568-D568))</f>
        <v/>
      </c>
      <c r="T568" t="inlineStr">
        <is>
          <t>Yes</t>
        </is>
      </c>
      <c r="U568" t="n">
        <v>35</v>
      </c>
      <c r="V568" t="inlineStr">
        <is>
          <t>Paid</t>
        </is>
      </c>
      <c r="W568" t="n">
        <v>2</v>
      </c>
      <c r="X568" t="inlineStr">
        <is>
          <t>Weather</t>
        </is>
      </c>
    </row>
    <row r="569">
      <c r="A569" t="inlineStr">
        <is>
          <t>ORD-2026-00568</t>
        </is>
      </c>
      <c r="B569" t="inlineStr">
        <is>
          <t>CUST-0053</t>
        </is>
      </c>
      <c r="C569" s="3" t="n">
        <v>46242</v>
      </c>
      <c r="D569" s="3" t="n">
        <v>46246</v>
      </c>
      <c r="E569" s="3" t="n">
        <v>46247</v>
      </c>
      <c r="F569" t="inlineStr">
        <is>
          <t>Mumbai</t>
        </is>
      </c>
      <c r="G569" t="inlineStr">
        <is>
          <t>Bengaluru</t>
        </is>
      </c>
      <c r="H569" t="inlineStr">
        <is>
          <t>Delhivery</t>
        </is>
      </c>
      <c r="I569" t="inlineStr">
        <is>
          <t>Van</t>
        </is>
      </c>
      <c r="J569" t="inlineStr">
        <is>
          <t>High</t>
        </is>
      </c>
      <c r="K569" t="inlineStr">
        <is>
          <t>Delivered</t>
        </is>
      </c>
      <c r="L569" t="n">
        <v>1244.83</v>
      </c>
      <c r="M569" t="n">
        <v>1005</v>
      </c>
      <c r="N569" t="n">
        <v>40.92</v>
      </c>
      <c r="O569" t="n">
        <v>3673.02</v>
      </c>
      <c r="P569" t="n">
        <v>657.47</v>
      </c>
      <c r="Q569">
        <f>ROUND(L569*M569*N569/1000+O569+P569,2)</f>
        <v/>
      </c>
      <c r="R569" t="inlineStr">
        <is>
          <t>No</t>
        </is>
      </c>
      <c r="S569">
        <f>IF(OR(E569="",D569=""),"",MAX(0,E569-D569))</f>
        <v/>
      </c>
      <c r="T569" t="inlineStr">
        <is>
          <t>No</t>
        </is>
      </c>
      <c r="U569" t="n">
        <v>68</v>
      </c>
      <c r="V569" t="inlineStr">
        <is>
          <t>Pending</t>
        </is>
      </c>
      <c r="W569" t="n">
        <v>3</v>
      </c>
      <c r="X569" t="inlineStr">
        <is>
          <t>Damaged Package</t>
        </is>
      </c>
    </row>
    <row r="570">
      <c r="A570" t="inlineStr">
        <is>
          <t>ORD-2026-00569</t>
        </is>
      </c>
      <c r="B570" t="inlineStr">
        <is>
          <t>CUST-0214</t>
        </is>
      </c>
      <c r="C570" s="3" t="n">
        <v>46112</v>
      </c>
      <c r="D570" s="3" t="n">
        <v>46118</v>
      </c>
      <c r="E570" s="3" t="n">
        <v>46118</v>
      </c>
      <c r="F570" t="inlineStr">
        <is>
          <t>Kolkata</t>
        </is>
      </c>
      <c r="G570" t="inlineStr">
        <is>
          <t>Mumbai</t>
        </is>
      </c>
      <c r="H570" t="inlineStr">
        <is>
          <t>Delhivery</t>
        </is>
      </c>
      <c r="I570" t="inlineStr">
        <is>
          <t>Container</t>
        </is>
      </c>
      <c r="J570" t="inlineStr">
        <is>
          <t>High</t>
        </is>
      </c>
      <c r="K570" t="inlineStr">
        <is>
          <t>Delivered</t>
        </is>
      </c>
      <c r="L570" t="n">
        <v>2484.86</v>
      </c>
      <c r="M570" t="n">
        <v>1271</v>
      </c>
      <c r="N570" t="n">
        <v>18.86</v>
      </c>
      <c r="O570" t="n">
        <v>3858.07</v>
      </c>
      <c r="P570" t="n">
        <v>1058.72</v>
      </c>
      <c r="Q570">
        <f>ROUND(L570*M570*N570/1000+O570+P570,2)</f>
        <v/>
      </c>
      <c r="R570" t="inlineStr">
        <is>
          <t>Yes</t>
        </is>
      </c>
      <c r="S570">
        <f>IF(OR(E570="",D570=""),"",MAX(0,E570-D570))</f>
        <v/>
      </c>
      <c r="T570" t="inlineStr">
        <is>
          <t>No</t>
        </is>
      </c>
      <c r="U570" t="n">
        <v>15</v>
      </c>
      <c r="V570" t="inlineStr">
        <is>
          <t>Paid</t>
        </is>
      </c>
      <c r="W570" t="n">
        <v>4</v>
      </c>
      <c r="X570" t="inlineStr">
        <is>
          <t>Damaged Package</t>
        </is>
      </c>
    </row>
    <row r="571">
      <c r="A571" t="inlineStr">
        <is>
          <t>ORD-2026-00570</t>
        </is>
      </c>
      <c r="B571" t="inlineStr">
        <is>
          <t>CUST-0205</t>
        </is>
      </c>
      <c r="C571" s="3" t="n">
        <v>46060</v>
      </c>
      <c r="D571" s="3" t="n">
        <v>46068</v>
      </c>
      <c r="E571" s="3" t="n">
        <v>46069</v>
      </c>
      <c r="F571" t="inlineStr">
        <is>
          <t>Pune</t>
        </is>
      </c>
      <c r="G571" t="inlineStr">
        <is>
          <t>Ahmedabad</t>
        </is>
      </c>
      <c r="H571" t="inlineStr">
        <is>
          <t>Delhivery</t>
        </is>
      </c>
      <c r="I571" t="inlineStr">
        <is>
          <t>Van</t>
        </is>
      </c>
      <c r="J571" t="inlineStr">
        <is>
          <t>Normal</t>
        </is>
      </c>
      <c r="K571" t="inlineStr">
        <is>
          <t>Delivered</t>
        </is>
      </c>
      <c r="L571" t="n">
        <v>724.8099999999999</v>
      </c>
      <c r="M571" t="n">
        <v>2291</v>
      </c>
      <c r="N571" t="n">
        <v>45.87</v>
      </c>
      <c r="O571" t="n">
        <v>3672.77</v>
      </c>
      <c r="P571" t="n">
        <v>446.62</v>
      </c>
      <c r="Q571">
        <f>ROUND(L571*M571*N571/1000+O571+P571,2)</f>
        <v/>
      </c>
      <c r="R571" t="inlineStr">
        <is>
          <t>No</t>
        </is>
      </c>
      <c r="S571">
        <f>IF(OR(E571="",D571=""),"",MAX(0,E571-D571))</f>
        <v/>
      </c>
      <c r="T571" t="inlineStr">
        <is>
          <t>No</t>
        </is>
      </c>
      <c r="U571" t="n">
        <v>76</v>
      </c>
      <c r="V571" t="inlineStr">
        <is>
          <t>Paid</t>
        </is>
      </c>
      <c r="W571" t="n">
        <v>1</v>
      </c>
      <c r="X571" t="inlineStr">
        <is>
          <t>Weather</t>
        </is>
      </c>
    </row>
    <row r="572">
      <c r="A572" t="inlineStr">
        <is>
          <t>ORD-2026-00571</t>
        </is>
      </c>
      <c r="B572" t="inlineStr">
        <is>
          <t>CUST-0129</t>
        </is>
      </c>
      <c r="C572" s="3" t="n">
        <v>46101</v>
      </c>
      <c r="D572" s="3" t="n">
        <v>46102</v>
      </c>
      <c r="E572" s="3" t="n">
        <v>46102</v>
      </c>
      <c r="F572" t="inlineStr">
        <is>
          <t>Surat</t>
        </is>
      </c>
      <c r="G572" t="inlineStr">
        <is>
          <t>Delhi</t>
        </is>
      </c>
      <c r="H572" t="inlineStr">
        <is>
          <t>BlueDart</t>
        </is>
      </c>
      <c r="I572" t="inlineStr">
        <is>
          <t>Refrigerated Truck</t>
        </is>
      </c>
      <c r="J572" t="inlineStr">
        <is>
          <t>Normal</t>
        </is>
      </c>
      <c r="K572" t="inlineStr">
        <is>
          <t>Delivered</t>
        </is>
      </c>
      <c r="L572" t="n">
        <v>2.1</v>
      </c>
      <c r="M572" t="n">
        <v>1034</v>
      </c>
      <c r="N572" t="n">
        <v>15.85</v>
      </c>
      <c r="O572" t="n">
        <v>2.85</v>
      </c>
      <c r="P572" t="n">
        <v>1182.19</v>
      </c>
      <c r="Q572">
        <f>ROUND(L572*M572*N572/1000+O572+P572,2)</f>
        <v/>
      </c>
      <c r="R572" t="inlineStr">
        <is>
          <t>Yes</t>
        </is>
      </c>
      <c r="S572">
        <f>IF(OR(E572="",D572=""),"",MAX(0,E572-D572))</f>
        <v/>
      </c>
      <c r="T572" t="inlineStr">
        <is>
          <t>Yes</t>
        </is>
      </c>
      <c r="U572" t="n">
        <v>56</v>
      </c>
      <c r="V572" t="inlineStr">
        <is>
          <t>Paid</t>
        </is>
      </c>
      <c r="W572" t="n">
        <v>3</v>
      </c>
      <c r="X572" t="inlineStr">
        <is>
          <t>Address Error</t>
        </is>
      </c>
    </row>
    <row r="573">
      <c r="A573" t="inlineStr">
        <is>
          <t>ORD-2026-00572</t>
        </is>
      </c>
      <c r="B573" t="inlineStr">
        <is>
          <t>CUST-0067</t>
        </is>
      </c>
      <c r="C573" s="3" t="n">
        <v>46031</v>
      </c>
      <c r="D573" s="3" t="n">
        <v>46039</v>
      </c>
      <c r="E573" s="3" t="n">
        <v>46044</v>
      </c>
      <c r="F573" t="inlineStr">
        <is>
          <t>Pune</t>
        </is>
      </c>
      <c r="G573" t="inlineStr">
        <is>
          <t>Kolkata</t>
        </is>
      </c>
      <c r="H573" t="inlineStr">
        <is>
          <t>FedEx</t>
        </is>
      </c>
      <c r="I573" t="inlineStr">
        <is>
          <t>Truck</t>
        </is>
      </c>
      <c r="J573" t="inlineStr">
        <is>
          <t>Critical</t>
        </is>
      </c>
      <c r="K573" t="inlineStr">
        <is>
          <t>Delivered</t>
        </is>
      </c>
      <c r="L573" t="n">
        <v>1696.41</v>
      </c>
      <c r="M573" t="n">
        <v>1587</v>
      </c>
      <c r="N573" t="n">
        <v>32.09</v>
      </c>
      <c r="O573" t="n">
        <v>7603.81</v>
      </c>
      <c r="P573" t="n">
        <v>165.25</v>
      </c>
      <c r="Q573">
        <f>ROUND(L573*M573*N573/1000+O573+P573,2)</f>
        <v/>
      </c>
      <c r="R573" t="inlineStr">
        <is>
          <t>No</t>
        </is>
      </c>
      <c r="S573">
        <f>IF(OR(E573="",D573=""),"",MAX(0,E573-D573))</f>
        <v/>
      </c>
      <c r="T573" t="inlineStr">
        <is>
          <t>No</t>
        </is>
      </c>
      <c r="U573" t="n">
        <v>75</v>
      </c>
      <c r="V573" t="inlineStr">
        <is>
          <t>Pending</t>
        </is>
      </c>
      <c r="W573" t="n">
        <v>2</v>
      </c>
      <c r="X573" t="inlineStr">
        <is>
          <t>Vehicle Breakdown</t>
        </is>
      </c>
    </row>
    <row r="574">
      <c r="A574" t="inlineStr">
        <is>
          <t>ORD-2026-00573</t>
        </is>
      </c>
      <c r="B574" t="inlineStr">
        <is>
          <t>CUST-0201</t>
        </is>
      </c>
      <c r="C574" s="3" t="n">
        <v>46057</v>
      </c>
      <c r="D574" s="3" t="n">
        <v>46064</v>
      </c>
      <c r="E574" s="3" t="n">
        <v>46065</v>
      </c>
      <c r="F574" t="inlineStr">
        <is>
          <t>Chennai</t>
        </is>
      </c>
      <c r="G574" t="inlineStr">
        <is>
          <t>Mumbai</t>
        </is>
      </c>
      <c r="H574" t="inlineStr">
        <is>
          <t>DHL</t>
        </is>
      </c>
      <c r="I574" t="inlineStr">
        <is>
          <t>Bike</t>
        </is>
      </c>
      <c r="J574" t="inlineStr">
        <is>
          <t>Critical</t>
        </is>
      </c>
      <c r="K574" t="inlineStr">
        <is>
          <t>Delivered</t>
        </is>
      </c>
      <c r="L574" t="n">
        <v>214.45</v>
      </c>
      <c r="M574" t="n">
        <v>2326</v>
      </c>
      <c r="N574" t="n">
        <v>60.85</v>
      </c>
      <c r="O574" t="n">
        <v>1750.41</v>
      </c>
      <c r="P574" t="n">
        <v>291.39</v>
      </c>
      <c r="Q574">
        <f>ROUND(L574*M574*N574/1000+O574+P574,2)</f>
        <v/>
      </c>
      <c r="R574" t="inlineStr">
        <is>
          <t>No</t>
        </is>
      </c>
      <c r="S574">
        <f>IF(OR(E574="",D574=""),"",MAX(0,E574-D574))</f>
        <v/>
      </c>
      <c r="T574" t="inlineStr">
        <is>
          <t>No</t>
        </is>
      </c>
      <c r="U574" t="n">
        <v>65</v>
      </c>
      <c r="V574" t="inlineStr">
        <is>
          <t>COD</t>
        </is>
      </c>
      <c r="W574" t="n">
        <v>4</v>
      </c>
      <c r="X574" t="inlineStr">
        <is>
          <t>Vehicle Breakdown</t>
        </is>
      </c>
    </row>
    <row r="575">
      <c r="A575" t="inlineStr">
        <is>
          <t>ORD-2026-00574</t>
        </is>
      </c>
      <c r="B575" t="inlineStr">
        <is>
          <t>CUST-0036</t>
        </is>
      </c>
      <c r="C575" s="3" t="n">
        <v>46132</v>
      </c>
      <c r="D575" s="3" t="n">
        <v>46140</v>
      </c>
      <c r="E575" s="3" t="n">
        <v>46140</v>
      </c>
      <c r="F575" t="inlineStr">
        <is>
          <t>Kolkata</t>
        </is>
      </c>
      <c r="G575" t="inlineStr">
        <is>
          <t>Pune</t>
        </is>
      </c>
      <c r="H575" t="inlineStr">
        <is>
          <t>Aramex</t>
        </is>
      </c>
      <c r="I575" t="inlineStr">
        <is>
          <t>Truck</t>
        </is>
      </c>
      <c r="J575" t="inlineStr">
        <is>
          <t>High</t>
        </is>
      </c>
      <c r="K575" t="inlineStr">
        <is>
          <t>Delivered</t>
        </is>
      </c>
      <c r="L575" t="n">
        <v>69.67</v>
      </c>
      <c r="M575" t="n">
        <v>2294</v>
      </c>
      <c r="N575" t="n">
        <v>9.51</v>
      </c>
      <c r="O575" t="n">
        <v>115.52</v>
      </c>
      <c r="P575" t="n">
        <v>150.87</v>
      </c>
      <c r="Q575">
        <f>ROUND(L575*M575*N575/1000+O575+P575,2)</f>
        <v/>
      </c>
      <c r="R575" t="inlineStr">
        <is>
          <t>Yes</t>
        </is>
      </c>
      <c r="S575">
        <f>IF(OR(E575="",D575=""),"",MAX(0,E575-D575))</f>
        <v/>
      </c>
      <c r="T575" t="inlineStr">
        <is>
          <t>Yes</t>
        </is>
      </c>
      <c r="U575" t="n">
        <v>80</v>
      </c>
      <c r="V575" t="inlineStr">
        <is>
          <t>COD</t>
        </is>
      </c>
      <c r="W575" t="n">
        <v>1</v>
      </c>
      <c r="X575" t="inlineStr">
        <is>
          <t>Customer Unavailable</t>
        </is>
      </c>
    </row>
    <row r="576">
      <c r="A576" t="inlineStr">
        <is>
          <t>ORD-2026-00575</t>
        </is>
      </c>
      <c r="B576" t="inlineStr">
        <is>
          <t>CUST-0213</t>
        </is>
      </c>
      <c r="C576" s="3" t="n">
        <v>46239</v>
      </c>
      <c r="D576" s="3" t="n">
        <v>46246</v>
      </c>
      <c r="E576" s="3" t="n">
        <v>46246</v>
      </c>
      <c r="F576" t="inlineStr">
        <is>
          <t>Mumbai</t>
        </is>
      </c>
      <c r="G576" t="inlineStr">
        <is>
          <t>Hyderabad</t>
        </is>
      </c>
      <c r="H576" t="inlineStr">
        <is>
          <t>DTDC</t>
        </is>
      </c>
      <c r="I576" t="inlineStr">
        <is>
          <t>Van</t>
        </is>
      </c>
      <c r="J576" t="inlineStr">
        <is>
          <t>High</t>
        </is>
      </c>
      <c r="K576" t="inlineStr">
        <is>
          <t>Delivered</t>
        </is>
      </c>
      <c r="L576" t="n">
        <v>1157.29</v>
      </c>
      <c r="M576" t="n">
        <v>2126</v>
      </c>
      <c r="N576" t="n">
        <v>34.23</v>
      </c>
      <c r="O576" t="n">
        <v>2801.2</v>
      </c>
      <c r="P576" t="n">
        <v>100.95</v>
      </c>
      <c r="Q576">
        <f>ROUND(L576*M576*N576/1000+O576+P576,2)</f>
        <v/>
      </c>
      <c r="R576" t="inlineStr">
        <is>
          <t>Yes</t>
        </is>
      </c>
      <c r="S576">
        <f>IF(OR(E576="",D576=""),"",MAX(0,E576-D576))</f>
        <v/>
      </c>
      <c r="T576" t="inlineStr">
        <is>
          <t>No</t>
        </is>
      </c>
      <c r="U576" t="n">
        <v>43</v>
      </c>
      <c r="V576" t="inlineStr">
        <is>
          <t>Paid</t>
        </is>
      </c>
      <c r="W576" t="n">
        <v>1</v>
      </c>
      <c r="X576" t="inlineStr">
        <is>
          <t>Damaged Package</t>
        </is>
      </c>
    </row>
    <row r="577">
      <c r="A577" t="inlineStr">
        <is>
          <t>ORD-2026-00576</t>
        </is>
      </c>
      <c r="B577" t="inlineStr">
        <is>
          <t>CUST-0040</t>
        </is>
      </c>
      <c r="C577" s="3" t="n">
        <v>46172</v>
      </c>
      <c r="D577" s="3" t="n">
        <v>46173</v>
      </c>
      <c r="E577" s="3" t="n">
        <v>46174</v>
      </c>
      <c r="F577" t="inlineStr">
        <is>
          <t>Pune</t>
        </is>
      </c>
      <c r="G577" t="inlineStr">
        <is>
          <t>Pune</t>
        </is>
      </c>
      <c r="H577" t="inlineStr">
        <is>
          <t>Maersk</t>
        </is>
      </c>
      <c r="I577" t="inlineStr">
        <is>
          <t>Van</t>
        </is>
      </c>
      <c r="J577" t="inlineStr">
        <is>
          <t>Critical</t>
        </is>
      </c>
      <c r="K577" t="inlineStr">
        <is>
          <t>Delivered</t>
        </is>
      </c>
      <c r="L577" t="n">
        <v>1405.34</v>
      </c>
      <c r="M577" t="n">
        <v>2033</v>
      </c>
      <c r="N577" t="n">
        <v>15.77</v>
      </c>
      <c r="O577" t="n">
        <v>3771.31</v>
      </c>
      <c r="P577" t="n">
        <v>966.71</v>
      </c>
      <c r="Q577">
        <f>ROUND(L577*M577*N577/1000+O577+P577,2)</f>
        <v/>
      </c>
      <c r="R577" t="inlineStr">
        <is>
          <t>No</t>
        </is>
      </c>
      <c r="S577">
        <f>IF(OR(E577="",D577=""),"",MAX(0,E577-D577))</f>
        <v/>
      </c>
      <c r="T577" t="inlineStr">
        <is>
          <t>Yes</t>
        </is>
      </c>
      <c r="U577" t="n">
        <v>15</v>
      </c>
      <c r="V577" t="inlineStr">
        <is>
          <t>Paid</t>
        </is>
      </c>
      <c r="W577" t="n">
        <v>1</v>
      </c>
      <c r="X577" t="inlineStr">
        <is>
          <t>Address Error</t>
        </is>
      </c>
    </row>
    <row r="578">
      <c r="A578" t="inlineStr">
        <is>
          <t>ORD-2026-00577</t>
        </is>
      </c>
      <c r="B578" t="inlineStr">
        <is>
          <t>CUST-0032</t>
        </is>
      </c>
      <c r="C578" s="3" t="n">
        <v>46177</v>
      </c>
      <c r="D578" s="3" t="n">
        <v>46179</v>
      </c>
      <c r="E578" s="3" t="n">
        <v>46179</v>
      </c>
      <c r="F578" t="inlineStr">
        <is>
          <t>Pune</t>
        </is>
      </c>
      <c r="G578" t="inlineStr">
        <is>
          <t>Chennai</t>
        </is>
      </c>
      <c r="H578" t="inlineStr">
        <is>
          <t>Delhivery</t>
        </is>
      </c>
      <c r="I578" t="inlineStr">
        <is>
          <t>Truck</t>
        </is>
      </c>
      <c r="J578" t="inlineStr">
        <is>
          <t>Normal</t>
        </is>
      </c>
      <c r="K578" t="inlineStr">
        <is>
          <t>Delivered</t>
        </is>
      </c>
      <c r="L578" t="n">
        <v>259.47</v>
      </c>
      <c r="M578" t="n">
        <v>105</v>
      </c>
      <c r="N578" t="n">
        <v>55.47</v>
      </c>
      <c r="O578" t="n">
        <v>85.58</v>
      </c>
      <c r="P578" t="n">
        <v>102.37</v>
      </c>
      <c r="Q578">
        <f>ROUND(L578*M578*N578/1000+O578+P578,2)</f>
        <v/>
      </c>
      <c r="R578" t="inlineStr">
        <is>
          <t>Yes</t>
        </is>
      </c>
      <c r="S578">
        <f>IF(OR(E578="",D578=""),"",MAX(0,E578-D578))</f>
        <v/>
      </c>
      <c r="T578" t="inlineStr">
        <is>
          <t>No</t>
        </is>
      </c>
      <c r="U578" t="n">
        <v>79</v>
      </c>
      <c r="V578" t="inlineStr">
        <is>
          <t>Failed</t>
        </is>
      </c>
      <c r="W578" t="n">
        <v>5</v>
      </c>
      <c r="X578" t="inlineStr">
        <is>
          <t>None</t>
        </is>
      </c>
    </row>
    <row r="579">
      <c r="A579" t="inlineStr">
        <is>
          <t>ORD-2026-00578</t>
        </is>
      </c>
      <c r="B579" t="inlineStr">
        <is>
          <t>CUST-0052</t>
        </is>
      </c>
      <c r="C579" s="3" t="n">
        <v>46133</v>
      </c>
      <c r="D579" s="3" t="n">
        <v>46136</v>
      </c>
      <c r="E579" s="3" t="n">
        <v>46137</v>
      </c>
      <c r="F579" t="inlineStr">
        <is>
          <t>Jaipur</t>
        </is>
      </c>
      <c r="G579" t="inlineStr">
        <is>
          <t>Jaipur</t>
        </is>
      </c>
      <c r="H579" t="inlineStr">
        <is>
          <t>FedEx</t>
        </is>
      </c>
      <c r="I579" t="inlineStr">
        <is>
          <t>Refrigerated Truck</t>
        </is>
      </c>
      <c r="J579" t="inlineStr">
        <is>
          <t>Low</t>
        </is>
      </c>
      <c r="K579" t="inlineStr">
        <is>
          <t>Delivered</t>
        </is>
      </c>
      <c r="L579" t="n">
        <v>2046.47</v>
      </c>
      <c r="M579" t="n">
        <v>2697</v>
      </c>
      <c r="N579" t="n">
        <v>21.72</v>
      </c>
      <c r="O579" t="n">
        <v>7275.62</v>
      </c>
      <c r="P579" t="n">
        <v>1055.45</v>
      </c>
      <c r="Q579">
        <f>ROUND(L579*M579*N579/1000+O579+P579,2)</f>
        <v/>
      </c>
      <c r="R579" t="inlineStr">
        <is>
          <t>No</t>
        </is>
      </c>
      <c r="S579">
        <f>IF(OR(E579="",D579=""),"",MAX(0,E579-D579))</f>
        <v/>
      </c>
      <c r="T579" t="inlineStr">
        <is>
          <t>No</t>
        </is>
      </c>
      <c r="U579" t="n">
        <v>48</v>
      </c>
      <c r="V579" t="inlineStr">
        <is>
          <t>COD</t>
        </is>
      </c>
      <c r="W579" t="n">
        <v>4</v>
      </c>
      <c r="X579" t="inlineStr">
        <is>
          <t>Weather</t>
        </is>
      </c>
    </row>
    <row r="580">
      <c r="A580" t="inlineStr">
        <is>
          <t>ORD-2026-00579</t>
        </is>
      </c>
      <c r="B580" t="inlineStr">
        <is>
          <t>CUST-0078</t>
        </is>
      </c>
      <c r="C580" s="3" t="n">
        <v>46201</v>
      </c>
      <c r="D580" s="3" t="n">
        <v>46203</v>
      </c>
      <c r="E580" s="3" t="n">
        <v>46203</v>
      </c>
      <c r="F580" t="inlineStr">
        <is>
          <t>Ahmedabad</t>
        </is>
      </c>
      <c r="G580" t="inlineStr">
        <is>
          <t>Kolkata</t>
        </is>
      </c>
      <c r="H580" t="inlineStr">
        <is>
          <t>Delhivery</t>
        </is>
      </c>
      <c r="I580" t="inlineStr">
        <is>
          <t>Van</t>
        </is>
      </c>
      <c r="J580" t="inlineStr">
        <is>
          <t>High</t>
        </is>
      </c>
      <c r="K580" t="inlineStr">
        <is>
          <t>Delivered</t>
        </is>
      </c>
      <c r="L580" t="n">
        <v>370.84</v>
      </c>
      <c r="M580" t="n">
        <v>1165</v>
      </c>
      <c r="N580" t="n">
        <v>34.05</v>
      </c>
      <c r="O580" t="n">
        <v>939.3099999999999</v>
      </c>
      <c r="P580" t="n">
        <v>36.31</v>
      </c>
      <c r="Q580">
        <f>ROUND(L580*M580*N580/1000+O580+P580,2)</f>
        <v/>
      </c>
      <c r="R580" t="inlineStr">
        <is>
          <t>Yes</t>
        </is>
      </c>
      <c r="S580">
        <f>IF(OR(E580="",D580=""),"",MAX(0,E580-D580))</f>
        <v/>
      </c>
      <c r="T580" t="inlineStr">
        <is>
          <t>Yes</t>
        </is>
      </c>
      <c r="U580" t="n">
        <v>60</v>
      </c>
      <c r="V580" t="inlineStr">
        <is>
          <t>Failed</t>
        </is>
      </c>
      <c r="W580" t="n">
        <v>3</v>
      </c>
      <c r="X580" t="inlineStr">
        <is>
          <t>None</t>
        </is>
      </c>
    </row>
    <row r="581">
      <c r="A581" t="inlineStr">
        <is>
          <t>ORD-2026-00580</t>
        </is>
      </c>
      <c r="B581" t="inlineStr">
        <is>
          <t>CUST-0091</t>
        </is>
      </c>
      <c r="C581" s="3" t="n">
        <v>46063</v>
      </c>
      <c r="D581" s="3" t="n">
        <v>46069</v>
      </c>
      <c r="E581" s="3" t="n">
        <v>46069</v>
      </c>
      <c r="F581" t="inlineStr">
        <is>
          <t>Kolkata</t>
        </is>
      </c>
      <c r="G581" t="inlineStr">
        <is>
          <t>Hyderabad</t>
        </is>
      </c>
      <c r="H581" t="inlineStr">
        <is>
          <t>Delhivery</t>
        </is>
      </c>
      <c r="I581" t="inlineStr">
        <is>
          <t>Truck</t>
        </is>
      </c>
      <c r="J581" t="inlineStr">
        <is>
          <t>High</t>
        </is>
      </c>
      <c r="K581" t="inlineStr">
        <is>
          <t>Delivered</t>
        </is>
      </c>
      <c r="L581" t="n">
        <v>527.34</v>
      </c>
      <c r="M581" t="n">
        <v>2155</v>
      </c>
      <c r="N581" t="n">
        <v>30.27</v>
      </c>
      <c r="O581" t="n">
        <v>1161.53</v>
      </c>
      <c r="P581" t="n">
        <v>990.76</v>
      </c>
      <c r="Q581">
        <f>ROUND(L581*M581*N581/1000+O581+P581,2)</f>
        <v/>
      </c>
      <c r="R581" t="inlineStr">
        <is>
          <t>Yes</t>
        </is>
      </c>
      <c r="S581">
        <f>IF(OR(E581="",D581=""),"",MAX(0,E581-D581))</f>
        <v/>
      </c>
      <c r="T581" t="inlineStr">
        <is>
          <t>No</t>
        </is>
      </c>
      <c r="U581" t="n">
        <v>51</v>
      </c>
      <c r="V581" t="inlineStr">
        <is>
          <t>Paid</t>
        </is>
      </c>
      <c r="W581" t="n">
        <v>4</v>
      </c>
      <c r="X581" t="inlineStr">
        <is>
          <t>Weather</t>
        </is>
      </c>
    </row>
    <row r="582">
      <c r="A582" t="inlineStr">
        <is>
          <t>ORD-2026-00581</t>
        </is>
      </c>
      <c r="B582" t="inlineStr">
        <is>
          <t>CUST-0149</t>
        </is>
      </c>
      <c r="C582" s="3" t="n">
        <v>46143</v>
      </c>
      <c r="D582" s="3" t="n">
        <v>46146</v>
      </c>
      <c r="E582" s="3" t="n">
        <v>46147</v>
      </c>
      <c r="F582" t="inlineStr">
        <is>
          <t>Hyderabad</t>
        </is>
      </c>
      <c r="G582" t="inlineStr">
        <is>
          <t>Kolkata</t>
        </is>
      </c>
      <c r="H582" t="inlineStr">
        <is>
          <t>DTDC</t>
        </is>
      </c>
      <c r="I582" t="inlineStr">
        <is>
          <t>Container</t>
        </is>
      </c>
      <c r="J582" t="inlineStr">
        <is>
          <t>Low</t>
        </is>
      </c>
      <c r="K582" t="inlineStr">
        <is>
          <t>Delivered</t>
        </is>
      </c>
      <c r="L582" t="n">
        <v>1938.61</v>
      </c>
      <c r="M582" t="n">
        <v>2157</v>
      </c>
      <c r="N582" t="n">
        <v>22.78</v>
      </c>
      <c r="O582" t="n">
        <v>6845.71</v>
      </c>
      <c r="P582" t="n">
        <v>891.5</v>
      </c>
      <c r="Q582">
        <f>ROUND(L582*M582*N582/1000+O582+P582,2)</f>
        <v/>
      </c>
      <c r="R582" t="inlineStr">
        <is>
          <t>No</t>
        </is>
      </c>
      <c r="S582">
        <f>IF(OR(E582="",D582=""),"",MAX(0,E582-D582))</f>
        <v/>
      </c>
      <c r="T582" t="inlineStr">
        <is>
          <t>Yes</t>
        </is>
      </c>
      <c r="U582" t="n">
        <v>4</v>
      </c>
      <c r="V582" t="inlineStr">
        <is>
          <t>Pending</t>
        </is>
      </c>
      <c r="W582" t="n">
        <v>2</v>
      </c>
      <c r="X582" t="inlineStr">
        <is>
          <t>None</t>
        </is>
      </c>
    </row>
    <row r="583">
      <c r="A583" t="inlineStr">
        <is>
          <t>ORD-2026-00582</t>
        </is>
      </c>
      <c r="B583" t="inlineStr">
        <is>
          <t>CUST-0061</t>
        </is>
      </c>
      <c r="C583" s="3" t="n">
        <v>46193</v>
      </c>
      <c r="D583" s="3" t="n">
        <v>46195</v>
      </c>
      <c r="E583" s="3" t="n">
        <v>46195</v>
      </c>
      <c r="F583" t="inlineStr">
        <is>
          <t>Mumbai</t>
        </is>
      </c>
      <c r="G583" t="inlineStr">
        <is>
          <t>Delhi</t>
        </is>
      </c>
      <c r="H583" t="inlineStr">
        <is>
          <t>Maersk</t>
        </is>
      </c>
      <c r="I583" t="inlineStr">
        <is>
          <t>Container</t>
        </is>
      </c>
      <c r="J583" t="inlineStr">
        <is>
          <t>Critical</t>
        </is>
      </c>
      <c r="K583" t="inlineStr">
        <is>
          <t>Delivered</t>
        </is>
      </c>
      <c r="L583" t="n">
        <v>809.49</v>
      </c>
      <c r="M583" t="n">
        <v>953</v>
      </c>
      <c r="N583" t="n">
        <v>63.94</v>
      </c>
      <c r="O583" t="n">
        <v>3872.76</v>
      </c>
      <c r="P583" t="n">
        <v>1104.32</v>
      </c>
      <c r="Q583">
        <f>ROUND(L583*M583*N583/1000+O583+P583,2)</f>
        <v/>
      </c>
      <c r="R583" t="inlineStr">
        <is>
          <t>Yes</t>
        </is>
      </c>
      <c r="S583">
        <f>IF(OR(E583="",D583=""),"",MAX(0,E583-D583))</f>
        <v/>
      </c>
      <c r="T583" t="inlineStr">
        <is>
          <t>Yes</t>
        </is>
      </c>
      <c r="U583" t="n">
        <v>8</v>
      </c>
      <c r="V583" t="inlineStr">
        <is>
          <t>COD</t>
        </is>
      </c>
      <c r="W583" t="n">
        <v>1</v>
      </c>
      <c r="X583" t="inlineStr">
        <is>
          <t>None</t>
        </is>
      </c>
    </row>
    <row r="584">
      <c r="A584" t="inlineStr">
        <is>
          <t>ORD-2026-00583</t>
        </is>
      </c>
      <c r="B584" t="inlineStr">
        <is>
          <t>CUST-0097</t>
        </is>
      </c>
      <c r="C584" s="3" t="n">
        <v>46239</v>
      </c>
      <c r="D584" s="3" t="n">
        <v>46241</v>
      </c>
      <c r="E584" s="3" t="n">
        <v>46241</v>
      </c>
      <c r="F584" t="inlineStr">
        <is>
          <t>Delhi</t>
        </is>
      </c>
      <c r="G584" t="inlineStr">
        <is>
          <t>Kolkata</t>
        </is>
      </c>
      <c r="H584" t="inlineStr">
        <is>
          <t>DTDC</t>
        </is>
      </c>
      <c r="I584" t="inlineStr">
        <is>
          <t>Truck</t>
        </is>
      </c>
      <c r="J584" t="inlineStr">
        <is>
          <t>Normal</t>
        </is>
      </c>
      <c r="K584" t="inlineStr">
        <is>
          <t>Delivered</t>
        </is>
      </c>
      <c r="L584" t="n">
        <v>1578.42</v>
      </c>
      <c r="M584" t="n">
        <v>125</v>
      </c>
      <c r="N584" t="n">
        <v>60.64</v>
      </c>
      <c r="O584" t="n">
        <v>589.48</v>
      </c>
      <c r="P584" t="n">
        <v>1054.11</v>
      </c>
      <c r="Q584">
        <f>ROUND(L584*M584*N584/1000+O584+P584,2)</f>
        <v/>
      </c>
      <c r="R584" t="inlineStr">
        <is>
          <t>Yes</t>
        </is>
      </c>
      <c r="S584">
        <f>IF(OR(E584="",D584=""),"",MAX(0,E584-D584))</f>
        <v/>
      </c>
      <c r="T584" t="inlineStr">
        <is>
          <t>No</t>
        </is>
      </c>
      <c r="U584" t="n">
        <v>63</v>
      </c>
      <c r="V584" t="inlineStr">
        <is>
          <t>Failed</t>
        </is>
      </c>
      <c r="W584" t="n">
        <v>3</v>
      </c>
      <c r="X584" t="inlineStr">
        <is>
          <t>Address Error</t>
        </is>
      </c>
    </row>
    <row r="585">
      <c r="A585" t="inlineStr">
        <is>
          <t>ORD-2026-00584</t>
        </is>
      </c>
      <c r="B585" t="inlineStr">
        <is>
          <t>CUST-0053</t>
        </is>
      </c>
      <c r="C585" s="3" t="n">
        <v>46074</v>
      </c>
      <c r="D585" s="3" t="n">
        <v>46077</v>
      </c>
      <c r="E585" s="3" t="n">
        <v>46077</v>
      </c>
      <c r="F585" t="inlineStr">
        <is>
          <t>Ahmedabad</t>
        </is>
      </c>
      <c r="G585" t="inlineStr">
        <is>
          <t>Delhi</t>
        </is>
      </c>
      <c r="H585" t="inlineStr">
        <is>
          <t>BlueDart</t>
        </is>
      </c>
      <c r="I585" t="inlineStr">
        <is>
          <t>Refrigerated Truck</t>
        </is>
      </c>
      <c r="J585" t="inlineStr">
        <is>
          <t>Critical</t>
        </is>
      </c>
      <c r="K585" t="inlineStr">
        <is>
          <t>Delivered</t>
        </is>
      </c>
      <c r="L585" t="n">
        <v>1975.12</v>
      </c>
      <c r="M585" t="n">
        <v>357</v>
      </c>
      <c r="N585" t="n">
        <v>41.18</v>
      </c>
      <c r="O585" t="n">
        <v>1967.15</v>
      </c>
      <c r="P585" t="n">
        <v>1009.61</v>
      </c>
      <c r="Q585">
        <f>ROUND(L585*M585*N585/1000+O585+P585,2)</f>
        <v/>
      </c>
      <c r="R585" t="inlineStr">
        <is>
          <t>Yes</t>
        </is>
      </c>
      <c r="S585">
        <f>IF(OR(E585="",D585=""),"",MAX(0,E585-D585))</f>
        <v/>
      </c>
      <c r="T585" t="inlineStr">
        <is>
          <t>Yes</t>
        </is>
      </c>
      <c r="U585" t="n">
        <v>44</v>
      </c>
      <c r="V585" t="inlineStr">
        <is>
          <t>Pending</t>
        </is>
      </c>
      <c r="W585" t="n">
        <v>5</v>
      </c>
      <c r="X585" t="inlineStr">
        <is>
          <t>Weather</t>
        </is>
      </c>
    </row>
    <row r="586">
      <c r="A586" t="inlineStr">
        <is>
          <t>ORD-2026-00585</t>
        </is>
      </c>
      <c r="B586" t="inlineStr">
        <is>
          <t>CUST-0113</t>
        </is>
      </c>
      <c r="C586" s="3" t="n">
        <v>46071</v>
      </c>
      <c r="D586" s="3" t="n">
        <v>46075</v>
      </c>
      <c r="E586" s="3" t="n">
        <v>46076</v>
      </c>
      <c r="F586" t="inlineStr">
        <is>
          <t>Chennai</t>
        </is>
      </c>
      <c r="G586" t="inlineStr">
        <is>
          <t>Chennai</t>
        </is>
      </c>
      <c r="H586" t="inlineStr">
        <is>
          <t>Aramex</t>
        </is>
      </c>
      <c r="I586" t="inlineStr">
        <is>
          <t>Van</t>
        </is>
      </c>
      <c r="J586" t="inlineStr">
        <is>
          <t>Low</t>
        </is>
      </c>
      <c r="K586" t="inlineStr">
        <is>
          <t>Delivered</t>
        </is>
      </c>
      <c r="L586" t="n">
        <v>880.59</v>
      </c>
      <c r="M586" t="n">
        <v>2538</v>
      </c>
      <c r="N586" t="n">
        <v>59.29</v>
      </c>
      <c r="O586" t="n">
        <v>10760.47</v>
      </c>
      <c r="P586" t="n">
        <v>1206.36</v>
      </c>
      <c r="Q586">
        <f>ROUND(L586*M586*N586/1000+O586+P586,2)</f>
        <v/>
      </c>
      <c r="R586" t="inlineStr">
        <is>
          <t>No</t>
        </is>
      </c>
      <c r="S586">
        <f>IF(OR(E586="",D586=""),"",MAX(0,E586-D586))</f>
        <v/>
      </c>
      <c r="T586" t="inlineStr">
        <is>
          <t>Yes</t>
        </is>
      </c>
      <c r="U586" t="n">
        <v>67</v>
      </c>
      <c r="V586" t="inlineStr">
        <is>
          <t>COD</t>
        </is>
      </c>
      <c r="W586" t="n">
        <v>1</v>
      </c>
      <c r="X586" t="inlineStr">
        <is>
          <t>None</t>
        </is>
      </c>
    </row>
    <row r="587">
      <c r="A587" t="inlineStr">
        <is>
          <t>ORD-2026-00586</t>
        </is>
      </c>
      <c r="B587" t="inlineStr">
        <is>
          <t>CUST-0018</t>
        </is>
      </c>
      <c r="C587" s="3" t="n">
        <v>46150</v>
      </c>
      <c r="D587" s="3" t="n">
        <v>46154</v>
      </c>
      <c r="E587" s="3" t="n">
        <v>46154</v>
      </c>
      <c r="F587" t="inlineStr">
        <is>
          <t>Delhi</t>
        </is>
      </c>
      <c r="G587" t="inlineStr">
        <is>
          <t>Pune</t>
        </is>
      </c>
      <c r="H587" t="inlineStr">
        <is>
          <t>BlueDart</t>
        </is>
      </c>
      <c r="I587" t="inlineStr">
        <is>
          <t>Bike</t>
        </is>
      </c>
      <c r="J587" t="inlineStr">
        <is>
          <t>Normal</t>
        </is>
      </c>
      <c r="K587" t="inlineStr">
        <is>
          <t>Delivered</t>
        </is>
      </c>
      <c r="L587" t="n">
        <v>56.84</v>
      </c>
      <c r="M587" t="n">
        <v>1192</v>
      </c>
      <c r="N587" t="n">
        <v>60.57</v>
      </c>
      <c r="O587" t="n">
        <v>185.01</v>
      </c>
      <c r="P587" t="n">
        <v>1060.84</v>
      </c>
      <c r="Q587">
        <f>ROUND(L587*M587*N587/1000+O587+P587,2)</f>
        <v/>
      </c>
      <c r="R587" t="inlineStr">
        <is>
          <t>Yes</t>
        </is>
      </c>
      <c r="S587">
        <f>IF(OR(E587="",D587=""),"",MAX(0,E587-D587))</f>
        <v/>
      </c>
      <c r="T587" t="inlineStr">
        <is>
          <t>No</t>
        </is>
      </c>
      <c r="U587" t="n">
        <v>52</v>
      </c>
      <c r="V587" t="inlineStr">
        <is>
          <t>Paid</t>
        </is>
      </c>
      <c r="W587" t="n">
        <v>5</v>
      </c>
      <c r="X587" t="inlineStr">
        <is>
          <t>Damaged Package</t>
        </is>
      </c>
    </row>
    <row r="588">
      <c r="A588" t="inlineStr">
        <is>
          <t>ORD-2026-00587</t>
        </is>
      </c>
      <c r="B588" t="inlineStr">
        <is>
          <t>CUST-0196</t>
        </is>
      </c>
      <c r="C588" s="3" t="n">
        <v>46051</v>
      </c>
      <c r="D588" s="3" t="n">
        <v>46059</v>
      </c>
      <c r="E588" s="3" t="n">
        <v>46064</v>
      </c>
      <c r="F588" t="inlineStr">
        <is>
          <t>Ahmedabad</t>
        </is>
      </c>
      <c r="G588" t="inlineStr">
        <is>
          <t>Delhi</t>
        </is>
      </c>
      <c r="H588" t="inlineStr">
        <is>
          <t>DHL</t>
        </is>
      </c>
      <c r="I588" t="inlineStr">
        <is>
          <t>Bike</t>
        </is>
      </c>
      <c r="J588" t="inlineStr">
        <is>
          <t>High</t>
        </is>
      </c>
      <c r="K588" t="inlineStr">
        <is>
          <t>Delivered</t>
        </is>
      </c>
      <c r="L588" t="n">
        <v>1633.25</v>
      </c>
      <c r="M588" t="n">
        <v>137</v>
      </c>
      <c r="N588" t="n">
        <v>27.27</v>
      </c>
      <c r="O588" t="n">
        <v>278.56</v>
      </c>
      <c r="P588" t="n">
        <v>515.12</v>
      </c>
      <c r="Q588">
        <f>ROUND(L588*M588*N588/1000+O588+P588,2)</f>
        <v/>
      </c>
      <c r="R588" t="inlineStr">
        <is>
          <t>No</t>
        </is>
      </c>
      <c r="S588">
        <f>IF(OR(E588="",D588=""),"",MAX(0,E588-D588))</f>
        <v/>
      </c>
      <c r="T588" t="inlineStr">
        <is>
          <t>Yes</t>
        </is>
      </c>
      <c r="U588" t="n">
        <v>31</v>
      </c>
      <c r="V588" t="inlineStr">
        <is>
          <t>Failed</t>
        </is>
      </c>
      <c r="W588" t="n">
        <v>1</v>
      </c>
      <c r="X588" t="inlineStr">
        <is>
          <t>Customer Unavailable</t>
        </is>
      </c>
    </row>
    <row r="589">
      <c r="A589" t="inlineStr">
        <is>
          <t>ORD-2026-00588</t>
        </is>
      </c>
      <c r="B589" t="inlineStr">
        <is>
          <t>CUST-0034</t>
        </is>
      </c>
      <c r="C589" s="3" t="n">
        <v>46167</v>
      </c>
      <c r="D589" s="3" t="n">
        <v>46168</v>
      </c>
      <c r="E589" s="3" t="n"/>
      <c r="F589" t="inlineStr">
        <is>
          <t>Pune</t>
        </is>
      </c>
      <c r="G589" t="inlineStr">
        <is>
          <t>Ahmedabad</t>
        </is>
      </c>
      <c r="H589" t="inlineStr">
        <is>
          <t>BlueDart</t>
        </is>
      </c>
      <c r="I589" t="inlineStr">
        <is>
          <t>Van</t>
        </is>
      </c>
      <c r="J589" t="inlineStr">
        <is>
          <t>Critical</t>
        </is>
      </c>
      <c r="K589" t="inlineStr">
        <is>
          <t>Exception</t>
        </is>
      </c>
      <c r="L589" t="n">
        <v>1495.57</v>
      </c>
      <c r="M589" t="n">
        <v>2513</v>
      </c>
      <c r="N589" t="n">
        <v>60.97</v>
      </c>
      <c r="O589" t="n">
        <v>19076.8</v>
      </c>
      <c r="P589" t="n">
        <v>728.58</v>
      </c>
      <c r="Q589">
        <f>ROUND(L589*M589*N589/1000+O589+P589,2)</f>
        <v/>
      </c>
      <c r="R589" t="inlineStr">
        <is>
          <t>No</t>
        </is>
      </c>
      <c r="S589">
        <f>IF(OR(E589="",D589=""),"",MAX(0,E589-D589))</f>
        <v/>
      </c>
      <c r="T589" t="inlineStr">
        <is>
          <t>Yes</t>
        </is>
      </c>
      <c r="U589" t="n">
        <v>45</v>
      </c>
      <c r="V589" t="inlineStr">
        <is>
          <t>Failed</t>
        </is>
      </c>
      <c r="W589" t="n">
        <v>4</v>
      </c>
      <c r="X589" t="inlineStr">
        <is>
          <t>Vehicle Breakdown</t>
        </is>
      </c>
    </row>
    <row r="590">
      <c r="A590" t="inlineStr">
        <is>
          <t>ORD-2026-00589</t>
        </is>
      </c>
      <c r="B590" t="inlineStr">
        <is>
          <t>CUST-0014</t>
        </is>
      </c>
      <c r="C590" s="3" t="n">
        <v>46223</v>
      </c>
      <c r="D590" s="3" t="n">
        <v>46227</v>
      </c>
      <c r="E590" s="3" t="n"/>
      <c r="F590" t="inlineStr">
        <is>
          <t>Chennai</t>
        </is>
      </c>
      <c r="G590" t="inlineStr">
        <is>
          <t>Chennai</t>
        </is>
      </c>
      <c r="H590" t="inlineStr">
        <is>
          <t>Maersk</t>
        </is>
      </c>
      <c r="I590" t="inlineStr">
        <is>
          <t>Truck</t>
        </is>
      </c>
      <c r="J590" t="inlineStr">
        <is>
          <t>Critical</t>
        </is>
      </c>
      <c r="K590" t="inlineStr">
        <is>
          <t>Booked</t>
        </is>
      </c>
      <c r="L590" t="n">
        <v>1335.7</v>
      </c>
      <c r="M590" t="n">
        <v>1558</v>
      </c>
      <c r="N590" t="n">
        <v>46.87</v>
      </c>
      <c r="O590" t="n">
        <v>7244.63</v>
      </c>
      <c r="P590" t="n">
        <v>837.6900000000001</v>
      </c>
      <c r="Q590">
        <f>ROUND(L590*M590*N590/1000+O590+P590,2)</f>
        <v/>
      </c>
      <c r="R590" t="inlineStr">
        <is>
          <t>No</t>
        </is>
      </c>
      <c r="S590">
        <f>IF(OR(E590="",D590=""),"",MAX(0,E590-D590))</f>
        <v/>
      </c>
      <c r="T590" t="inlineStr">
        <is>
          <t>No</t>
        </is>
      </c>
      <c r="U590" t="n">
        <v>71</v>
      </c>
      <c r="V590" t="inlineStr">
        <is>
          <t>Pending</t>
        </is>
      </c>
      <c r="W590" t="n">
        <v>1</v>
      </c>
      <c r="X590" t="inlineStr">
        <is>
          <t>Weather</t>
        </is>
      </c>
    </row>
    <row r="591">
      <c r="A591" t="inlineStr">
        <is>
          <t>ORD-2026-00590</t>
        </is>
      </c>
      <c r="B591" t="inlineStr">
        <is>
          <t>CUST-0192</t>
        </is>
      </c>
      <c r="C591" s="3" t="n">
        <v>46053</v>
      </c>
      <c r="D591" s="3" t="n">
        <v>46059</v>
      </c>
      <c r="E591" s="3" t="n">
        <v>46059</v>
      </c>
      <c r="F591" t="inlineStr">
        <is>
          <t>Surat</t>
        </is>
      </c>
      <c r="G591" t="inlineStr">
        <is>
          <t>Kolkata</t>
        </is>
      </c>
      <c r="H591" t="inlineStr">
        <is>
          <t>BlueDart</t>
        </is>
      </c>
      <c r="I591" t="inlineStr">
        <is>
          <t>Van</t>
        </is>
      </c>
      <c r="J591" t="inlineStr">
        <is>
          <t>Normal</t>
        </is>
      </c>
      <c r="K591" t="inlineStr">
        <is>
          <t>Delivered</t>
        </is>
      </c>
      <c r="L591" t="n">
        <v>2295.21</v>
      </c>
      <c r="M591" t="n">
        <v>980</v>
      </c>
      <c r="N591" t="n">
        <v>21.23</v>
      </c>
      <c r="O591" t="n">
        <v>3119.07</v>
      </c>
      <c r="P591" t="n">
        <v>356.15</v>
      </c>
      <c r="Q591">
        <f>ROUND(L591*M591*N591/1000+O591+P591,2)</f>
        <v/>
      </c>
      <c r="R591" t="inlineStr">
        <is>
          <t>Yes</t>
        </is>
      </c>
      <c r="S591">
        <f>IF(OR(E591="",D591=""),"",MAX(0,E591-D591))</f>
        <v/>
      </c>
      <c r="T591" t="inlineStr">
        <is>
          <t>Yes</t>
        </is>
      </c>
      <c r="U591" t="n">
        <v>10</v>
      </c>
      <c r="V591" t="inlineStr">
        <is>
          <t>Paid</t>
        </is>
      </c>
      <c r="W591" t="n">
        <v>2</v>
      </c>
      <c r="X591" t="inlineStr">
        <is>
          <t>Weather</t>
        </is>
      </c>
    </row>
    <row r="592">
      <c r="A592" t="inlineStr">
        <is>
          <t>ORD-2026-00591</t>
        </is>
      </c>
      <c r="B592" t="inlineStr">
        <is>
          <t>CUST-0169</t>
        </is>
      </c>
      <c r="C592" s="3" t="n">
        <v>46069</v>
      </c>
      <c r="D592" s="3" t="n">
        <v>46074</v>
      </c>
      <c r="E592" s="3" t="n">
        <v>46074</v>
      </c>
      <c r="F592" t="inlineStr">
        <is>
          <t>Mumbai</t>
        </is>
      </c>
      <c r="G592" t="inlineStr">
        <is>
          <t>Mumbai</t>
        </is>
      </c>
      <c r="H592" t="inlineStr">
        <is>
          <t>BlueDart</t>
        </is>
      </c>
      <c r="I592" t="inlineStr">
        <is>
          <t>Refrigerated Truck</t>
        </is>
      </c>
      <c r="J592" t="inlineStr">
        <is>
          <t>Normal</t>
        </is>
      </c>
      <c r="K592" t="inlineStr">
        <is>
          <t>Delivered</t>
        </is>
      </c>
      <c r="L592" t="n">
        <v>1638.19</v>
      </c>
      <c r="M592" t="n">
        <v>1005</v>
      </c>
      <c r="N592" t="n">
        <v>64.89</v>
      </c>
      <c r="O592" t="n">
        <v>4036.49</v>
      </c>
      <c r="P592" t="n">
        <v>608.77</v>
      </c>
      <c r="Q592">
        <f>ROUND(L592*M592*N592/1000+O592+P592,2)</f>
        <v/>
      </c>
      <c r="R592" t="inlineStr">
        <is>
          <t>Yes</t>
        </is>
      </c>
      <c r="S592">
        <f>IF(OR(E592="",D592=""),"",MAX(0,E592-D592))</f>
        <v/>
      </c>
      <c r="T592" t="inlineStr">
        <is>
          <t>No</t>
        </is>
      </c>
      <c r="U592" t="n">
        <v>46</v>
      </c>
      <c r="V592" t="inlineStr">
        <is>
          <t>Pending</t>
        </is>
      </c>
      <c r="W592" t="n">
        <v>4</v>
      </c>
      <c r="X592" t="inlineStr">
        <is>
          <t>Damaged Package</t>
        </is>
      </c>
    </row>
    <row r="593">
      <c r="A593" t="inlineStr">
        <is>
          <t>ORD-2026-00592</t>
        </is>
      </c>
      <c r="B593" t="inlineStr">
        <is>
          <t>CUST-0027</t>
        </is>
      </c>
      <c r="C593" s="3" t="n">
        <v>46100</v>
      </c>
      <c r="D593" s="3" t="n">
        <v>46106</v>
      </c>
      <c r="E593" s="3" t="n">
        <v>46108</v>
      </c>
      <c r="F593" t="inlineStr">
        <is>
          <t>Ahmedabad</t>
        </is>
      </c>
      <c r="G593" t="inlineStr">
        <is>
          <t>Hyderabad</t>
        </is>
      </c>
      <c r="H593" t="inlineStr">
        <is>
          <t>Delhivery</t>
        </is>
      </c>
      <c r="I593" t="inlineStr">
        <is>
          <t>Bike</t>
        </is>
      </c>
      <c r="J593" t="inlineStr">
        <is>
          <t>Critical</t>
        </is>
      </c>
      <c r="K593" t="inlineStr">
        <is>
          <t>Delivered</t>
        </is>
      </c>
      <c r="L593" t="n">
        <v>1634.28</v>
      </c>
      <c r="M593" t="n">
        <v>2162</v>
      </c>
      <c r="N593" t="n">
        <v>58.9</v>
      </c>
      <c r="O593" t="n">
        <v>10224.87</v>
      </c>
      <c r="P593" t="n">
        <v>821.3</v>
      </c>
      <c r="Q593">
        <f>ROUND(L593*M593*N593/1000+O593+P593,2)</f>
        <v/>
      </c>
      <c r="R593" t="inlineStr">
        <is>
          <t>No</t>
        </is>
      </c>
      <c r="S593">
        <f>IF(OR(E593="",D593=""),"",MAX(0,E593-D593))</f>
        <v/>
      </c>
      <c r="T593" t="inlineStr">
        <is>
          <t>No</t>
        </is>
      </c>
      <c r="U593" t="n">
        <v>11</v>
      </c>
      <c r="V593" t="inlineStr">
        <is>
          <t>Pending</t>
        </is>
      </c>
      <c r="W593" t="n">
        <v>2</v>
      </c>
      <c r="X593" t="inlineStr">
        <is>
          <t>Customer Unavailable</t>
        </is>
      </c>
    </row>
    <row r="594">
      <c r="A594" t="inlineStr">
        <is>
          <t>ORD-2026-00593</t>
        </is>
      </c>
      <c r="B594" t="inlineStr">
        <is>
          <t>CUST-0196</t>
        </is>
      </c>
      <c r="C594" s="3" t="n">
        <v>46156</v>
      </c>
      <c r="D594" s="3" t="n">
        <v>46160</v>
      </c>
      <c r="E594" s="3" t="n">
        <v>46160</v>
      </c>
      <c r="F594" t="inlineStr">
        <is>
          <t>Jaipur</t>
        </is>
      </c>
      <c r="G594" t="inlineStr">
        <is>
          <t>Mumbai</t>
        </is>
      </c>
      <c r="H594" t="inlineStr">
        <is>
          <t>BlueDart</t>
        </is>
      </c>
      <c r="I594" t="inlineStr">
        <is>
          <t>Container</t>
        </is>
      </c>
      <c r="J594" t="inlineStr">
        <is>
          <t>Low</t>
        </is>
      </c>
      <c r="K594" t="inlineStr">
        <is>
          <t>Delivered</t>
        </is>
      </c>
      <c r="L594" t="n">
        <v>307.31</v>
      </c>
      <c r="M594" t="n">
        <v>586</v>
      </c>
      <c r="N594" t="n">
        <v>10.04</v>
      </c>
      <c r="O594" t="n">
        <v>79.75</v>
      </c>
      <c r="P594" t="n">
        <v>671.61</v>
      </c>
      <c r="Q594">
        <f>ROUND(L594*M594*N594/1000+O594+P594,2)</f>
        <v/>
      </c>
      <c r="R594" t="inlineStr">
        <is>
          <t>Yes</t>
        </is>
      </c>
      <c r="S594">
        <f>IF(OR(E594="",D594=""),"",MAX(0,E594-D594))</f>
        <v/>
      </c>
      <c r="T594" t="inlineStr">
        <is>
          <t>No</t>
        </is>
      </c>
      <c r="U594" t="n">
        <v>36</v>
      </c>
      <c r="V594" t="inlineStr">
        <is>
          <t>Failed</t>
        </is>
      </c>
      <c r="W594" t="n">
        <v>3</v>
      </c>
      <c r="X594" t="inlineStr">
        <is>
          <t>Customer Unavailable</t>
        </is>
      </c>
    </row>
    <row r="595">
      <c r="A595" t="inlineStr">
        <is>
          <t>ORD-2026-00594</t>
        </is>
      </c>
      <c r="B595" t="inlineStr">
        <is>
          <t>CUST-0048</t>
        </is>
      </c>
      <c r="C595" s="3" t="n">
        <v>46044</v>
      </c>
      <c r="D595" s="3" t="n">
        <v>46045</v>
      </c>
      <c r="E595" s="3" t="n">
        <v>46045</v>
      </c>
      <c r="F595" t="inlineStr">
        <is>
          <t>Chennai</t>
        </is>
      </c>
      <c r="G595" t="inlineStr">
        <is>
          <t>Surat</t>
        </is>
      </c>
      <c r="H595" t="inlineStr">
        <is>
          <t>BlueDart</t>
        </is>
      </c>
      <c r="I595" t="inlineStr">
        <is>
          <t>Refrigerated Truck</t>
        </is>
      </c>
      <c r="J595" t="inlineStr">
        <is>
          <t>Low</t>
        </is>
      </c>
      <c r="K595" t="inlineStr">
        <is>
          <t>Delivered</t>
        </is>
      </c>
      <c r="L595" t="n">
        <v>1238.65</v>
      </c>
      <c r="M595" t="n">
        <v>1572</v>
      </c>
      <c r="N595" t="n">
        <v>29.93</v>
      </c>
      <c r="O595" t="n">
        <v>1903.66</v>
      </c>
      <c r="P595" t="n">
        <v>324.48</v>
      </c>
      <c r="Q595">
        <f>ROUND(L595*M595*N595/1000+O595+P595,2)</f>
        <v/>
      </c>
      <c r="R595" t="inlineStr">
        <is>
          <t>Yes</t>
        </is>
      </c>
      <c r="S595">
        <f>IF(OR(E595="",D595=""),"",MAX(0,E595-D595))</f>
        <v/>
      </c>
      <c r="T595" t="inlineStr">
        <is>
          <t>No</t>
        </is>
      </c>
      <c r="U595" t="n">
        <v>4</v>
      </c>
      <c r="V595" t="inlineStr">
        <is>
          <t>COD</t>
        </is>
      </c>
      <c r="W595" t="n">
        <v>3</v>
      </c>
      <c r="X595" t="inlineStr">
        <is>
          <t>Customer Unavailable</t>
        </is>
      </c>
    </row>
    <row r="596">
      <c r="A596" t="inlineStr">
        <is>
          <t>ORD-2026-00595</t>
        </is>
      </c>
      <c r="B596" t="inlineStr">
        <is>
          <t>CUST-0193</t>
        </is>
      </c>
      <c r="C596" s="3" t="n">
        <v>46215</v>
      </c>
      <c r="D596" s="3" t="n">
        <v>46219</v>
      </c>
      <c r="E596" s="3" t="n">
        <v>46221</v>
      </c>
      <c r="F596" t="inlineStr">
        <is>
          <t>Ahmedabad</t>
        </is>
      </c>
      <c r="G596" t="inlineStr">
        <is>
          <t>Mumbai</t>
        </is>
      </c>
      <c r="H596" t="inlineStr">
        <is>
          <t>DTDC</t>
        </is>
      </c>
      <c r="I596" t="inlineStr">
        <is>
          <t>Container</t>
        </is>
      </c>
      <c r="J596" t="inlineStr">
        <is>
          <t>High</t>
        </is>
      </c>
      <c r="K596" t="inlineStr">
        <is>
          <t>Delivered</t>
        </is>
      </c>
      <c r="L596" t="n">
        <v>2073.18</v>
      </c>
      <c r="M596" t="n">
        <v>1782</v>
      </c>
      <c r="N596" t="n">
        <v>57.35</v>
      </c>
      <c r="O596" t="n">
        <v>16305.15</v>
      </c>
      <c r="P596" t="n">
        <v>1394.28</v>
      </c>
      <c r="Q596">
        <f>ROUND(L596*M596*N596/1000+O596+P596,2)</f>
        <v/>
      </c>
      <c r="R596" t="inlineStr">
        <is>
          <t>No</t>
        </is>
      </c>
      <c r="S596">
        <f>IF(OR(E596="",D596=""),"",MAX(0,E596-D596))</f>
        <v/>
      </c>
      <c r="T596" t="inlineStr">
        <is>
          <t>No</t>
        </is>
      </c>
      <c r="U596" t="n">
        <v>55</v>
      </c>
      <c r="V596" t="inlineStr">
        <is>
          <t>COD</t>
        </is>
      </c>
      <c r="W596" t="n">
        <v>2</v>
      </c>
      <c r="X596" t="inlineStr">
        <is>
          <t>Weather</t>
        </is>
      </c>
    </row>
    <row r="597">
      <c r="A597" t="inlineStr">
        <is>
          <t>ORD-2026-00596</t>
        </is>
      </c>
      <c r="B597" t="inlineStr">
        <is>
          <t>CUST-0071</t>
        </is>
      </c>
      <c r="C597" s="3" t="n">
        <v>46142</v>
      </c>
      <c r="D597" s="3" t="n">
        <v>46146</v>
      </c>
      <c r="E597" s="3" t="n">
        <v>46147</v>
      </c>
      <c r="F597" t="inlineStr">
        <is>
          <t>Hyderabad</t>
        </is>
      </c>
      <c r="G597" t="inlineStr">
        <is>
          <t>Pune</t>
        </is>
      </c>
      <c r="H597" t="inlineStr">
        <is>
          <t>Maersk</t>
        </is>
      </c>
      <c r="I597" t="inlineStr">
        <is>
          <t>Refrigerated Truck</t>
        </is>
      </c>
      <c r="J597" t="inlineStr">
        <is>
          <t>Low</t>
        </is>
      </c>
      <c r="K597" t="inlineStr">
        <is>
          <t>Delayed</t>
        </is>
      </c>
      <c r="L597" t="n">
        <v>2497.02</v>
      </c>
      <c r="M597" t="n">
        <v>2228</v>
      </c>
      <c r="N597" t="n">
        <v>24.86</v>
      </c>
      <c r="O597" t="n">
        <v>8888.17</v>
      </c>
      <c r="P597" t="n">
        <v>77.14</v>
      </c>
      <c r="Q597">
        <f>ROUND(L597*M597*N597/1000+O597+P597,2)</f>
        <v/>
      </c>
      <c r="R597" t="inlineStr">
        <is>
          <t>No</t>
        </is>
      </c>
      <c r="S597">
        <f>IF(OR(E597="",D597=""),"",MAX(0,E597-D597))</f>
        <v/>
      </c>
      <c r="T597" t="inlineStr">
        <is>
          <t>Yes</t>
        </is>
      </c>
      <c r="U597" t="n">
        <v>40</v>
      </c>
      <c r="V597" t="inlineStr">
        <is>
          <t>COD</t>
        </is>
      </c>
      <c r="W597" t="n">
        <v>3</v>
      </c>
      <c r="X597" t="inlineStr">
        <is>
          <t>Customer Unavailable</t>
        </is>
      </c>
    </row>
    <row r="598">
      <c r="A598" t="inlineStr">
        <is>
          <t>ORD-2026-00597</t>
        </is>
      </c>
      <c r="B598" t="inlineStr">
        <is>
          <t>CUST-0015</t>
        </is>
      </c>
      <c r="C598" s="3" t="n">
        <v>46068</v>
      </c>
      <c r="D598" s="3" t="n">
        <v>46076</v>
      </c>
      <c r="E598" s="3" t="n">
        <v>46076</v>
      </c>
      <c r="F598" t="inlineStr">
        <is>
          <t>Kolkata</t>
        </is>
      </c>
      <c r="G598" t="inlineStr">
        <is>
          <t>Mumbai</t>
        </is>
      </c>
      <c r="H598" t="inlineStr">
        <is>
          <t>FedEx</t>
        </is>
      </c>
      <c r="I598" t="inlineStr">
        <is>
          <t>Bike</t>
        </is>
      </c>
      <c r="J598" t="inlineStr">
        <is>
          <t>High</t>
        </is>
      </c>
      <c r="K598" t="inlineStr">
        <is>
          <t>Delivered</t>
        </is>
      </c>
      <c r="L598" t="n">
        <v>1166.37</v>
      </c>
      <c r="M598" t="n">
        <v>1474</v>
      </c>
      <c r="N598" t="n">
        <v>35.37</v>
      </c>
      <c r="O598" t="n">
        <v>4904.84</v>
      </c>
      <c r="P598" t="n">
        <v>342.41</v>
      </c>
      <c r="Q598">
        <f>ROUND(L598*M598*N598/1000+O598+P598,2)</f>
        <v/>
      </c>
      <c r="R598" t="inlineStr">
        <is>
          <t>Yes</t>
        </is>
      </c>
      <c r="S598">
        <f>IF(OR(E598="",D598=""),"",MAX(0,E598-D598))</f>
        <v/>
      </c>
      <c r="T598" t="inlineStr">
        <is>
          <t>Yes</t>
        </is>
      </c>
      <c r="U598" t="n">
        <v>57</v>
      </c>
      <c r="V598" t="inlineStr">
        <is>
          <t>Pending</t>
        </is>
      </c>
      <c r="W598" t="n">
        <v>3</v>
      </c>
      <c r="X598" t="inlineStr">
        <is>
          <t>Customer Unavailable</t>
        </is>
      </c>
    </row>
    <row r="599">
      <c r="A599" t="inlineStr">
        <is>
          <t>ORD-2026-00598</t>
        </is>
      </c>
      <c r="B599" t="inlineStr">
        <is>
          <t>CUST-0030</t>
        </is>
      </c>
      <c r="C599" s="3" t="n">
        <v>46224</v>
      </c>
      <c r="D599" s="3" t="n">
        <v>46229</v>
      </c>
      <c r="E599" s="3" t="n">
        <v>46229</v>
      </c>
      <c r="F599" t="inlineStr">
        <is>
          <t>Ahmedabad</t>
        </is>
      </c>
      <c r="G599" t="inlineStr">
        <is>
          <t>Delhi</t>
        </is>
      </c>
      <c r="H599" t="inlineStr">
        <is>
          <t>Maersk</t>
        </is>
      </c>
      <c r="I599" t="inlineStr">
        <is>
          <t>Bike</t>
        </is>
      </c>
      <c r="J599" t="inlineStr">
        <is>
          <t>Critical</t>
        </is>
      </c>
      <c r="K599" t="inlineStr">
        <is>
          <t>Delivered</t>
        </is>
      </c>
      <c r="L599" t="n">
        <v>568.9299999999999</v>
      </c>
      <c r="M599" t="n">
        <v>719</v>
      </c>
      <c r="N599" t="n">
        <v>16.37</v>
      </c>
      <c r="O599" t="n">
        <v>449.17</v>
      </c>
      <c r="P599" t="n">
        <v>93.38</v>
      </c>
      <c r="Q599">
        <f>ROUND(L599*M599*N599/1000+O599+P599,2)</f>
        <v/>
      </c>
      <c r="R599" t="inlineStr">
        <is>
          <t>Yes</t>
        </is>
      </c>
      <c r="S599">
        <f>IF(OR(E599="",D599=""),"",MAX(0,E599-D599))</f>
        <v/>
      </c>
      <c r="T599" t="inlineStr">
        <is>
          <t>No</t>
        </is>
      </c>
      <c r="U599" t="n">
        <v>6</v>
      </c>
      <c r="V599" t="inlineStr">
        <is>
          <t>Pending</t>
        </is>
      </c>
      <c r="W599" t="n">
        <v>1</v>
      </c>
      <c r="X599" t="inlineStr">
        <is>
          <t>Damaged Package</t>
        </is>
      </c>
    </row>
    <row r="600">
      <c r="A600" t="inlineStr">
        <is>
          <t>ORD-2026-00599</t>
        </is>
      </c>
      <c r="B600" t="inlineStr">
        <is>
          <t>CUST-0020</t>
        </is>
      </c>
      <c r="C600" s="3" t="n">
        <v>46089</v>
      </c>
      <c r="D600" s="3" t="n">
        <v>46094</v>
      </c>
      <c r="E600" s="3" t="n">
        <v>46094</v>
      </c>
      <c r="F600" t="inlineStr">
        <is>
          <t>Surat</t>
        </is>
      </c>
      <c r="G600" t="inlineStr">
        <is>
          <t>Jaipur</t>
        </is>
      </c>
      <c r="H600" t="inlineStr">
        <is>
          <t>BlueDart</t>
        </is>
      </c>
      <c r="I600" t="inlineStr">
        <is>
          <t>Bike</t>
        </is>
      </c>
      <c r="J600" t="inlineStr">
        <is>
          <t>Low</t>
        </is>
      </c>
      <c r="K600" t="inlineStr">
        <is>
          <t>Delivered</t>
        </is>
      </c>
      <c r="L600" t="n">
        <v>2123.59</v>
      </c>
      <c r="M600" t="n">
        <v>2218</v>
      </c>
      <c r="N600" t="n">
        <v>48.94</v>
      </c>
      <c r="O600" t="n">
        <v>15221.89</v>
      </c>
      <c r="P600" t="n">
        <v>537.6</v>
      </c>
      <c r="Q600">
        <f>ROUND(L600*M600*N600/1000+O600+P600,2)</f>
        <v/>
      </c>
      <c r="R600" t="inlineStr">
        <is>
          <t>Yes</t>
        </is>
      </c>
      <c r="S600">
        <f>IF(OR(E600="",D600=""),"",MAX(0,E600-D600))</f>
        <v/>
      </c>
      <c r="T600" t="inlineStr">
        <is>
          <t>Yes</t>
        </is>
      </c>
      <c r="U600" t="n">
        <v>27</v>
      </c>
      <c r="V600" t="inlineStr">
        <is>
          <t>COD</t>
        </is>
      </c>
      <c r="W600" t="n">
        <v>5</v>
      </c>
      <c r="X600" t="inlineStr">
        <is>
          <t>Vehicle Breakdown</t>
        </is>
      </c>
    </row>
    <row r="601">
      <c r="A601" t="inlineStr">
        <is>
          <t>ORD-2026-00600</t>
        </is>
      </c>
      <c r="B601" t="inlineStr">
        <is>
          <t>CUST-0105</t>
        </is>
      </c>
      <c r="C601" s="3" t="n">
        <v>46235</v>
      </c>
      <c r="D601" s="3" t="n">
        <v>46242</v>
      </c>
      <c r="E601" s="3" t="n">
        <v>46242</v>
      </c>
      <c r="F601" t="inlineStr">
        <is>
          <t>Hyderabad</t>
        </is>
      </c>
      <c r="G601" t="inlineStr">
        <is>
          <t>Jaipur</t>
        </is>
      </c>
      <c r="H601" t="inlineStr">
        <is>
          <t>FedEx</t>
        </is>
      </c>
      <c r="I601" t="inlineStr">
        <is>
          <t>Bike</t>
        </is>
      </c>
      <c r="J601" t="inlineStr">
        <is>
          <t>Low</t>
        </is>
      </c>
      <c r="K601" t="inlineStr">
        <is>
          <t>Delivered</t>
        </is>
      </c>
      <c r="L601" t="n">
        <v>708.0700000000001</v>
      </c>
      <c r="M601" t="n">
        <v>106</v>
      </c>
      <c r="N601" t="n">
        <v>26.61</v>
      </c>
      <c r="O601" t="n">
        <v>154.37</v>
      </c>
      <c r="P601" t="n">
        <v>515.78</v>
      </c>
      <c r="Q601">
        <f>ROUND(L601*M601*N601/1000+O601+P601,2)</f>
        <v/>
      </c>
      <c r="R601" t="inlineStr">
        <is>
          <t>Yes</t>
        </is>
      </c>
      <c r="S601">
        <f>IF(OR(E601="",D601=""),"",MAX(0,E601-D601))</f>
        <v/>
      </c>
      <c r="T601" t="inlineStr">
        <is>
          <t>Yes</t>
        </is>
      </c>
      <c r="U601" t="n">
        <v>48</v>
      </c>
      <c r="V601" t="inlineStr">
        <is>
          <t>Paid</t>
        </is>
      </c>
      <c r="W601" t="n">
        <v>3</v>
      </c>
      <c r="X601" t="inlineStr">
        <is>
          <t>Address Error</t>
        </is>
      </c>
    </row>
    <row r="602">
      <c r="A602" t="inlineStr">
        <is>
          <t>ORD-2026-00601</t>
        </is>
      </c>
      <c r="B602" t="inlineStr">
        <is>
          <t>CUST-0097</t>
        </is>
      </c>
      <c r="C602" s="3" t="n">
        <v>46174</v>
      </c>
      <c r="D602" s="3" t="n">
        <v>46175</v>
      </c>
      <c r="E602" s="3" t="n">
        <v>46175</v>
      </c>
      <c r="F602" t="inlineStr">
        <is>
          <t>Kolkata</t>
        </is>
      </c>
      <c r="G602" t="inlineStr">
        <is>
          <t>Ahmedabad</t>
        </is>
      </c>
      <c r="H602" t="inlineStr">
        <is>
          <t>Maersk</t>
        </is>
      </c>
      <c r="I602" t="inlineStr">
        <is>
          <t>Truck</t>
        </is>
      </c>
      <c r="J602" t="inlineStr">
        <is>
          <t>Critical</t>
        </is>
      </c>
      <c r="K602" t="inlineStr">
        <is>
          <t>Delivered</t>
        </is>
      </c>
      <c r="L602" t="n">
        <v>783.11</v>
      </c>
      <c r="M602" t="n">
        <v>2086</v>
      </c>
      <c r="N602" t="n">
        <v>52.66</v>
      </c>
      <c r="O602" t="n">
        <v>6259.98</v>
      </c>
      <c r="P602" t="n">
        <v>1411.11</v>
      </c>
      <c r="Q602">
        <f>ROUND(L602*M602*N602/1000+O602+P602,2)</f>
        <v/>
      </c>
      <c r="R602" t="inlineStr">
        <is>
          <t>Yes</t>
        </is>
      </c>
      <c r="S602">
        <f>IF(OR(E602="",D602=""),"",MAX(0,E602-D602))</f>
        <v/>
      </c>
      <c r="T602" t="inlineStr">
        <is>
          <t>Yes</t>
        </is>
      </c>
      <c r="U602" t="n">
        <v>10</v>
      </c>
      <c r="V602" t="inlineStr">
        <is>
          <t>Pending</t>
        </is>
      </c>
      <c r="W602" t="n">
        <v>5</v>
      </c>
      <c r="X602" t="inlineStr">
        <is>
          <t>Customs</t>
        </is>
      </c>
    </row>
    <row r="603">
      <c r="A603" t="inlineStr">
        <is>
          <t>ORD-2026-00602</t>
        </is>
      </c>
      <c r="B603" t="inlineStr">
        <is>
          <t>CUST-0082</t>
        </is>
      </c>
      <c r="C603" s="3" t="n">
        <v>46170</v>
      </c>
      <c r="D603" s="3" t="n">
        <v>46177</v>
      </c>
      <c r="E603" s="3" t="n">
        <v>46177</v>
      </c>
      <c r="F603" t="inlineStr">
        <is>
          <t>Pune</t>
        </is>
      </c>
      <c r="G603" t="inlineStr">
        <is>
          <t>Bengaluru</t>
        </is>
      </c>
      <c r="H603" t="inlineStr">
        <is>
          <t>Aramex</t>
        </is>
      </c>
      <c r="I603" t="inlineStr">
        <is>
          <t>Bike</t>
        </is>
      </c>
      <c r="J603" t="inlineStr">
        <is>
          <t>High</t>
        </is>
      </c>
      <c r="K603" t="inlineStr">
        <is>
          <t>Delivered</t>
        </is>
      </c>
      <c r="L603" t="n">
        <v>2196.26</v>
      </c>
      <c r="M603" t="n">
        <v>215</v>
      </c>
      <c r="N603" t="n">
        <v>42.6</v>
      </c>
      <c r="O603" t="n">
        <v>1399.07</v>
      </c>
      <c r="P603" t="n">
        <v>790.1</v>
      </c>
      <c r="Q603">
        <f>ROUND(L603*M603*N603/1000+O603+P603,2)</f>
        <v/>
      </c>
      <c r="R603" t="inlineStr">
        <is>
          <t>Yes</t>
        </is>
      </c>
      <c r="S603">
        <f>IF(OR(E603="",D603=""),"",MAX(0,E603-D603))</f>
        <v/>
      </c>
      <c r="T603" t="inlineStr">
        <is>
          <t>Yes</t>
        </is>
      </c>
      <c r="U603" t="n">
        <v>43</v>
      </c>
      <c r="V603" t="inlineStr">
        <is>
          <t>Pending</t>
        </is>
      </c>
      <c r="W603" t="n">
        <v>3</v>
      </c>
      <c r="X603" t="inlineStr">
        <is>
          <t>Address Error</t>
        </is>
      </c>
    </row>
    <row r="604">
      <c r="A604" t="inlineStr">
        <is>
          <t>ORD-2026-00603</t>
        </is>
      </c>
      <c r="B604" t="inlineStr">
        <is>
          <t>CUST-0235</t>
        </is>
      </c>
      <c r="C604" s="3" t="n">
        <v>46139</v>
      </c>
      <c r="D604" s="3" t="n">
        <v>46145</v>
      </c>
      <c r="E604" s="3" t="n">
        <v>46147</v>
      </c>
      <c r="F604" t="inlineStr">
        <is>
          <t>Hyderabad</t>
        </is>
      </c>
      <c r="G604" t="inlineStr">
        <is>
          <t>Jaipur</t>
        </is>
      </c>
      <c r="H604" t="inlineStr">
        <is>
          <t>DTDC</t>
        </is>
      </c>
      <c r="I604" t="inlineStr">
        <is>
          <t>Truck</t>
        </is>
      </c>
      <c r="J604" t="inlineStr">
        <is>
          <t>Critical</t>
        </is>
      </c>
      <c r="K604" t="inlineStr">
        <is>
          <t>Delivered</t>
        </is>
      </c>
      <c r="L604" t="n">
        <v>603</v>
      </c>
      <c r="M604" t="n">
        <v>1684</v>
      </c>
      <c r="N604" t="n">
        <v>28.63</v>
      </c>
      <c r="O604" t="n">
        <v>1486.15</v>
      </c>
      <c r="P604" t="n">
        <v>768.35</v>
      </c>
      <c r="Q604">
        <f>ROUND(L604*M604*N604/1000+O604+P604,2)</f>
        <v/>
      </c>
      <c r="R604" t="inlineStr">
        <is>
          <t>No</t>
        </is>
      </c>
      <c r="S604">
        <f>IF(OR(E604="",D604=""),"",MAX(0,E604-D604))</f>
        <v/>
      </c>
      <c r="T604" t="inlineStr">
        <is>
          <t>No</t>
        </is>
      </c>
      <c r="U604" t="n">
        <v>30</v>
      </c>
      <c r="V604" t="inlineStr">
        <is>
          <t>Pending</t>
        </is>
      </c>
      <c r="W604" t="n">
        <v>5</v>
      </c>
      <c r="X604" t="inlineStr">
        <is>
          <t>Address Error</t>
        </is>
      </c>
    </row>
    <row r="605">
      <c r="A605" t="inlineStr">
        <is>
          <t>ORD-2026-00604</t>
        </is>
      </c>
      <c r="B605" t="inlineStr">
        <is>
          <t>CUST-0130</t>
        </is>
      </c>
      <c r="C605" s="3" t="n">
        <v>46221</v>
      </c>
      <c r="D605" s="3" t="n">
        <v>46228</v>
      </c>
      <c r="E605" s="3" t="n">
        <v>46229</v>
      </c>
      <c r="F605" t="inlineStr">
        <is>
          <t>Delhi</t>
        </is>
      </c>
      <c r="G605" t="inlineStr">
        <is>
          <t>Kolkata</t>
        </is>
      </c>
      <c r="H605" t="inlineStr">
        <is>
          <t>Delhivery</t>
        </is>
      </c>
      <c r="I605" t="inlineStr">
        <is>
          <t>Truck</t>
        </is>
      </c>
      <c r="J605" t="inlineStr">
        <is>
          <t>Normal</t>
        </is>
      </c>
      <c r="K605" t="inlineStr">
        <is>
          <t>Delivered</t>
        </is>
      </c>
      <c r="L605" t="n">
        <v>1514.06</v>
      </c>
      <c r="M605" t="n">
        <v>1180</v>
      </c>
      <c r="N605" t="n">
        <v>27.47</v>
      </c>
      <c r="O605" t="n">
        <v>1819.69</v>
      </c>
      <c r="P605" t="n">
        <v>624.58</v>
      </c>
      <c r="Q605">
        <f>ROUND(L605*M605*N605/1000+O605+P605,2)</f>
        <v/>
      </c>
      <c r="R605" t="inlineStr">
        <is>
          <t>No</t>
        </is>
      </c>
      <c r="S605">
        <f>IF(OR(E605="",D605=""),"",MAX(0,E605-D605))</f>
        <v/>
      </c>
      <c r="T605" t="inlineStr">
        <is>
          <t>No</t>
        </is>
      </c>
      <c r="U605" t="n">
        <v>2</v>
      </c>
      <c r="V605" t="inlineStr">
        <is>
          <t>Pending</t>
        </is>
      </c>
      <c r="W605" t="n">
        <v>1</v>
      </c>
      <c r="X605" t="inlineStr">
        <is>
          <t>Weather</t>
        </is>
      </c>
    </row>
    <row r="606">
      <c r="A606" t="inlineStr">
        <is>
          <t>ORD-2026-00605</t>
        </is>
      </c>
      <c r="B606" t="inlineStr">
        <is>
          <t>CUST-0132</t>
        </is>
      </c>
      <c r="C606" s="3" t="n">
        <v>46090</v>
      </c>
      <c r="D606" s="3" t="n">
        <v>46098</v>
      </c>
      <c r="E606" s="3" t="n">
        <v>46100</v>
      </c>
      <c r="F606" t="inlineStr">
        <is>
          <t>Surat</t>
        </is>
      </c>
      <c r="G606" t="inlineStr">
        <is>
          <t>Chennai</t>
        </is>
      </c>
      <c r="H606" t="inlineStr">
        <is>
          <t>Delhivery</t>
        </is>
      </c>
      <c r="I606" t="inlineStr">
        <is>
          <t>Refrigerated Truck</t>
        </is>
      </c>
      <c r="J606" t="inlineStr">
        <is>
          <t>Normal</t>
        </is>
      </c>
      <c r="K606" t="inlineStr">
        <is>
          <t>Delivered</t>
        </is>
      </c>
      <c r="L606" t="n">
        <v>85.67</v>
      </c>
      <c r="M606" t="n">
        <v>1772</v>
      </c>
      <c r="N606" t="n">
        <v>9.359999999999999</v>
      </c>
      <c r="O606" t="n">
        <v>56.86</v>
      </c>
      <c r="P606" t="n">
        <v>128.06</v>
      </c>
      <c r="Q606">
        <f>ROUND(L606*M606*N606/1000+O606+P606,2)</f>
        <v/>
      </c>
      <c r="R606" t="inlineStr">
        <is>
          <t>No</t>
        </is>
      </c>
      <c r="S606">
        <f>IF(OR(E606="",D606=""),"",MAX(0,E606-D606))</f>
        <v/>
      </c>
      <c r="T606" t="inlineStr">
        <is>
          <t>No</t>
        </is>
      </c>
      <c r="U606" t="n">
        <v>72</v>
      </c>
      <c r="V606" t="inlineStr">
        <is>
          <t>Pending</t>
        </is>
      </c>
      <c r="W606" t="n">
        <v>3</v>
      </c>
      <c r="X606" t="inlineStr">
        <is>
          <t>None</t>
        </is>
      </c>
    </row>
    <row r="607">
      <c r="A607" t="inlineStr">
        <is>
          <t>ORD-2026-00606</t>
        </is>
      </c>
      <c r="B607" t="inlineStr">
        <is>
          <t>CUST-0234</t>
        </is>
      </c>
      <c r="C607" s="3" t="n">
        <v>46109</v>
      </c>
      <c r="D607" s="3" t="n">
        <v>46115</v>
      </c>
      <c r="E607" s="3" t="n">
        <v>46116</v>
      </c>
      <c r="F607" t="inlineStr">
        <is>
          <t>Chennai</t>
        </is>
      </c>
      <c r="G607" t="inlineStr">
        <is>
          <t>Jaipur</t>
        </is>
      </c>
      <c r="H607" t="inlineStr">
        <is>
          <t>Maersk</t>
        </is>
      </c>
      <c r="I607" t="inlineStr">
        <is>
          <t>Container</t>
        </is>
      </c>
      <c r="J607" t="inlineStr">
        <is>
          <t>High</t>
        </is>
      </c>
      <c r="K607" t="inlineStr">
        <is>
          <t>Delivered</t>
        </is>
      </c>
      <c r="L607" t="n">
        <v>2485.34</v>
      </c>
      <c r="M607" t="n">
        <v>190</v>
      </c>
      <c r="N607" t="n">
        <v>12.2</v>
      </c>
      <c r="O607" t="n">
        <v>491.09</v>
      </c>
      <c r="P607" t="n">
        <v>1425.88</v>
      </c>
      <c r="Q607">
        <f>ROUND(L607*M607*N607/1000+O607+P607,2)</f>
        <v/>
      </c>
      <c r="R607" t="inlineStr">
        <is>
          <t>No</t>
        </is>
      </c>
      <c r="S607">
        <f>IF(OR(E607="",D607=""),"",MAX(0,E607-D607))</f>
        <v/>
      </c>
      <c r="T607" t="inlineStr">
        <is>
          <t>No</t>
        </is>
      </c>
      <c r="U607" t="n">
        <v>18</v>
      </c>
      <c r="V607" t="inlineStr">
        <is>
          <t>Pending</t>
        </is>
      </c>
      <c r="W607" t="n">
        <v>5</v>
      </c>
      <c r="X607" t="inlineStr">
        <is>
          <t>Customer Unavailable</t>
        </is>
      </c>
    </row>
    <row r="608">
      <c r="A608" t="inlineStr">
        <is>
          <t>ORD-2026-00607</t>
        </is>
      </c>
      <c r="B608" t="inlineStr">
        <is>
          <t>CUST-0072</t>
        </is>
      </c>
      <c r="C608" s="3" t="n">
        <v>46153</v>
      </c>
      <c r="D608" s="3" t="n">
        <v>46155</v>
      </c>
      <c r="E608" s="3" t="n">
        <v>46161</v>
      </c>
      <c r="F608" t="inlineStr">
        <is>
          <t>Mumbai</t>
        </is>
      </c>
      <c r="G608" t="inlineStr">
        <is>
          <t>Bengaluru</t>
        </is>
      </c>
      <c r="H608" t="inlineStr">
        <is>
          <t>FedEx</t>
        </is>
      </c>
      <c r="I608" t="inlineStr">
        <is>
          <t>Container</t>
        </is>
      </c>
      <c r="J608" t="inlineStr">
        <is>
          <t>High</t>
        </is>
      </c>
      <c r="K608" t="inlineStr">
        <is>
          <t>Delayed</t>
        </is>
      </c>
      <c r="L608" t="n">
        <v>1623.69</v>
      </c>
      <c r="M608" t="n">
        <v>1558</v>
      </c>
      <c r="N608" t="n">
        <v>26.26</v>
      </c>
      <c r="O608" t="n">
        <v>2697.29</v>
      </c>
      <c r="P608" t="n">
        <v>1089.35</v>
      </c>
      <c r="Q608">
        <f>ROUND(L608*M608*N608/1000+O608+P608,2)</f>
        <v/>
      </c>
      <c r="R608" t="inlineStr">
        <is>
          <t>No</t>
        </is>
      </c>
      <c r="S608">
        <f>IF(OR(E608="",D608=""),"",MAX(0,E608-D608))</f>
        <v/>
      </c>
      <c r="T608" t="inlineStr">
        <is>
          <t>Yes</t>
        </is>
      </c>
      <c r="U608" t="n">
        <v>73</v>
      </c>
      <c r="V608" t="inlineStr">
        <is>
          <t>Failed</t>
        </is>
      </c>
      <c r="W608" t="n">
        <v>3</v>
      </c>
      <c r="X608" t="inlineStr">
        <is>
          <t>Vehicle Breakdown</t>
        </is>
      </c>
    </row>
    <row r="609">
      <c r="A609" t="inlineStr">
        <is>
          <t>ORD-2026-00608</t>
        </is>
      </c>
      <c r="B609" t="inlineStr">
        <is>
          <t>CUST-0081</t>
        </is>
      </c>
      <c r="C609" s="3" t="n">
        <v>46121</v>
      </c>
      <c r="D609" s="3" t="n">
        <v>46127</v>
      </c>
      <c r="E609" s="3" t="n">
        <v>46129</v>
      </c>
      <c r="F609" t="inlineStr">
        <is>
          <t>Mumbai</t>
        </is>
      </c>
      <c r="G609" t="inlineStr">
        <is>
          <t>Hyderabad</t>
        </is>
      </c>
      <c r="H609" t="inlineStr">
        <is>
          <t>FedEx</t>
        </is>
      </c>
      <c r="I609" t="inlineStr">
        <is>
          <t>Truck</t>
        </is>
      </c>
      <c r="J609" t="inlineStr">
        <is>
          <t>Low</t>
        </is>
      </c>
      <c r="K609" t="inlineStr">
        <is>
          <t>Delivered</t>
        </is>
      </c>
      <c r="L609" t="n">
        <v>105.32</v>
      </c>
      <c r="M609" t="n">
        <v>867</v>
      </c>
      <c r="N609" t="n">
        <v>32.54</v>
      </c>
      <c r="O609" t="n">
        <v>138.75</v>
      </c>
      <c r="P609" t="n">
        <v>1321.78</v>
      </c>
      <c r="Q609">
        <f>ROUND(L609*M609*N609/1000+O609+P609,2)</f>
        <v/>
      </c>
      <c r="R609" t="inlineStr">
        <is>
          <t>No</t>
        </is>
      </c>
      <c r="S609">
        <f>IF(OR(E609="",D609=""),"",MAX(0,E609-D609))</f>
        <v/>
      </c>
      <c r="T609" t="inlineStr">
        <is>
          <t>No</t>
        </is>
      </c>
      <c r="U609" t="n">
        <v>36</v>
      </c>
      <c r="V609" t="inlineStr">
        <is>
          <t>Failed</t>
        </is>
      </c>
      <c r="W609" t="n">
        <v>4</v>
      </c>
      <c r="X609" t="inlineStr">
        <is>
          <t>Address Error</t>
        </is>
      </c>
    </row>
    <row r="610">
      <c r="A610" t="inlineStr">
        <is>
          <t>ORD-2026-00609</t>
        </is>
      </c>
      <c r="B610" t="inlineStr">
        <is>
          <t>CUST-0053</t>
        </is>
      </c>
      <c r="C610" s="3" t="n">
        <v>46066</v>
      </c>
      <c r="D610" s="3" t="n">
        <v>46071</v>
      </c>
      <c r="E610" s="3" t="n">
        <v>46076</v>
      </c>
      <c r="F610" t="inlineStr">
        <is>
          <t>Surat</t>
        </is>
      </c>
      <c r="G610" t="inlineStr">
        <is>
          <t>Surat</t>
        </is>
      </c>
      <c r="H610" t="inlineStr">
        <is>
          <t>Aramex</t>
        </is>
      </c>
      <c r="I610" t="inlineStr">
        <is>
          <t>Truck</t>
        </is>
      </c>
      <c r="J610" t="inlineStr">
        <is>
          <t>Low</t>
        </is>
      </c>
      <c r="K610" t="inlineStr">
        <is>
          <t>Delivered</t>
        </is>
      </c>
      <c r="L610" t="n">
        <v>1515.62</v>
      </c>
      <c r="M610" t="n">
        <v>439</v>
      </c>
      <c r="N610" t="n">
        <v>60.7</v>
      </c>
      <c r="O610" t="n">
        <v>2826.54</v>
      </c>
      <c r="P610" t="n">
        <v>228.68</v>
      </c>
      <c r="Q610">
        <f>ROUND(L610*M610*N610/1000+O610+P610,2)</f>
        <v/>
      </c>
      <c r="R610" t="inlineStr">
        <is>
          <t>No</t>
        </is>
      </c>
      <c r="S610">
        <f>IF(OR(E610="",D610=""),"",MAX(0,E610-D610))</f>
        <v/>
      </c>
      <c r="T610" t="inlineStr">
        <is>
          <t>Yes</t>
        </is>
      </c>
      <c r="U610" t="n">
        <v>70</v>
      </c>
      <c r="V610" t="inlineStr">
        <is>
          <t>Pending</t>
        </is>
      </c>
      <c r="W610" t="n">
        <v>1</v>
      </c>
      <c r="X610" t="inlineStr">
        <is>
          <t>Weather</t>
        </is>
      </c>
    </row>
    <row r="611">
      <c r="A611" t="inlineStr">
        <is>
          <t>ORD-2026-00610</t>
        </is>
      </c>
      <c r="B611" t="inlineStr">
        <is>
          <t>CUST-0076</t>
        </is>
      </c>
      <c r="C611" s="3" t="n">
        <v>46236</v>
      </c>
      <c r="D611" s="3" t="n">
        <v>46237</v>
      </c>
      <c r="E611" s="3" t="n">
        <v>46237</v>
      </c>
      <c r="F611" t="inlineStr">
        <is>
          <t>Mumbai</t>
        </is>
      </c>
      <c r="G611" t="inlineStr">
        <is>
          <t>Mumbai</t>
        </is>
      </c>
      <c r="H611" t="inlineStr">
        <is>
          <t>Delhivery</t>
        </is>
      </c>
      <c r="I611" t="inlineStr">
        <is>
          <t>Container</t>
        </is>
      </c>
      <c r="J611" t="inlineStr">
        <is>
          <t>Critical</t>
        </is>
      </c>
      <c r="K611" t="inlineStr">
        <is>
          <t>Delivered</t>
        </is>
      </c>
      <c r="L611" t="n">
        <v>2369.73</v>
      </c>
      <c r="M611" t="n">
        <v>1751</v>
      </c>
      <c r="N611" t="n">
        <v>49.73</v>
      </c>
      <c r="O611" t="n">
        <v>12639.66</v>
      </c>
      <c r="P611" t="n">
        <v>1249.94</v>
      </c>
      <c r="Q611">
        <f>ROUND(L611*M611*N611/1000+O611+P611,2)</f>
        <v/>
      </c>
      <c r="R611" t="inlineStr">
        <is>
          <t>Yes</t>
        </is>
      </c>
      <c r="S611">
        <f>IF(OR(E611="",D611=""),"",MAX(0,E611-D611))</f>
        <v/>
      </c>
      <c r="T611" t="inlineStr">
        <is>
          <t>No</t>
        </is>
      </c>
      <c r="U611" t="n">
        <v>12</v>
      </c>
      <c r="V611" t="inlineStr">
        <is>
          <t>Pending</t>
        </is>
      </c>
      <c r="W611" t="n">
        <v>3</v>
      </c>
      <c r="X611" t="inlineStr">
        <is>
          <t>Damaged Package</t>
        </is>
      </c>
    </row>
    <row r="612">
      <c r="A612" t="inlineStr">
        <is>
          <t>ORD-2026-00611</t>
        </is>
      </c>
      <c r="B612" t="inlineStr">
        <is>
          <t>CUST-0071</t>
        </is>
      </c>
      <c r="C612" s="3" t="n">
        <v>46194</v>
      </c>
      <c r="D612" s="3" t="n">
        <v>46196</v>
      </c>
      <c r="E612" s="3" t="n">
        <v>46206</v>
      </c>
      <c r="F612" t="inlineStr">
        <is>
          <t>Jaipur</t>
        </is>
      </c>
      <c r="G612" t="inlineStr">
        <is>
          <t>Surat</t>
        </is>
      </c>
      <c r="H612" t="inlineStr">
        <is>
          <t>Maersk</t>
        </is>
      </c>
      <c r="I612" t="inlineStr">
        <is>
          <t>Van</t>
        </is>
      </c>
      <c r="J612" t="inlineStr">
        <is>
          <t>High</t>
        </is>
      </c>
      <c r="K612" t="inlineStr">
        <is>
          <t>Delivered</t>
        </is>
      </c>
      <c r="L612" t="n">
        <v>1860.82</v>
      </c>
      <c r="M612" t="n">
        <v>916</v>
      </c>
      <c r="N612" t="n">
        <v>49.46</v>
      </c>
      <c r="O612" t="n">
        <v>4183.81</v>
      </c>
      <c r="P612" t="n">
        <v>770.45</v>
      </c>
      <c r="Q612">
        <f>ROUND(L612*M612*N612/1000+O612+P612,2)</f>
        <v/>
      </c>
      <c r="R612" t="inlineStr">
        <is>
          <t>No</t>
        </is>
      </c>
      <c r="S612">
        <f>IF(OR(E612="",D612=""),"",MAX(0,E612-D612))</f>
        <v/>
      </c>
      <c r="T612" t="inlineStr">
        <is>
          <t>Yes</t>
        </is>
      </c>
      <c r="U612" t="n">
        <v>56</v>
      </c>
      <c r="V612" t="inlineStr">
        <is>
          <t>Paid</t>
        </is>
      </c>
      <c r="W612" t="n">
        <v>5</v>
      </c>
      <c r="X612" t="inlineStr">
        <is>
          <t>Vehicle Breakdown</t>
        </is>
      </c>
    </row>
    <row r="613">
      <c r="A613" t="inlineStr">
        <is>
          <t>ORD-2026-00612</t>
        </is>
      </c>
      <c r="B613" t="inlineStr">
        <is>
          <t>CUST-0068</t>
        </is>
      </c>
      <c r="C613" s="3" t="n">
        <v>46071</v>
      </c>
      <c r="D613" s="3" t="n">
        <v>46072</v>
      </c>
      <c r="E613" s="3" t="n">
        <v>46077</v>
      </c>
      <c r="F613" t="inlineStr">
        <is>
          <t>Jaipur</t>
        </is>
      </c>
      <c r="G613" t="inlineStr">
        <is>
          <t>Delhi</t>
        </is>
      </c>
      <c r="H613" t="inlineStr">
        <is>
          <t>Delhivery</t>
        </is>
      </c>
      <c r="I613" t="inlineStr">
        <is>
          <t>Truck</t>
        </is>
      </c>
      <c r="J613" t="inlineStr">
        <is>
          <t>Critical</t>
        </is>
      </c>
      <c r="K613" t="inlineStr">
        <is>
          <t>Delivered</t>
        </is>
      </c>
      <c r="L613" t="n">
        <v>615.16</v>
      </c>
      <c r="M613" t="n">
        <v>2406</v>
      </c>
      <c r="N613" t="n">
        <v>29.44</v>
      </c>
      <c r="O613" t="n">
        <v>3773.01</v>
      </c>
      <c r="P613" t="n">
        <v>1016.55</v>
      </c>
      <c r="Q613">
        <f>ROUND(L613*M613*N613/1000+O613+P613,2)</f>
        <v/>
      </c>
      <c r="R613" t="inlineStr">
        <is>
          <t>No</t>
        </is>
      </c>
      <c r="S613">
        <f>IF(OR(E613="",D613=""),"",MAX(0,E613-D613))</f>
        <v/>
      </c>
      <c r="T613" t="inlineStr">
        <is>
          <t>No</t>
        </is>
      </c>
      <c r="U613" t="n">
        <v>17</v>
      </c>
      <c r="V613" t="inlineStr">
        <is>
          <t>Pending</t>
        </is>
      </c>
      <c r="W613" t="n">
        <v>1</v>
      </c>
      <c r="X613" t="inlineStr">
        <is>
          <t>Customs</t>
        </is>
      </c>
    </row>
    <row r="614">
      <c r="A614" t="inlineStr">
        <is>
          <t>ORD-2026-00613</t>
        </is>
      </c>
      <c r="B614" t="inlineStr">
        <is>
          <t>CUST-0150</t>
        </is>
      </c>
      <c r="C614" s="3" t="n">
        <v>46242</v>
      </c>
      <c r="D614" s="3" t="n">
        <v>46246</v>
      </c>
      <c r="E614" s="3" t="n"/>
      <c r="F614" t="inlineStr">
        <is>
          <t>Bengaluru</t>
        </is>
      </c>
      <c r="G614" t="inlineStr">
        <is>
          <t>Hyderabad</t>
        </is>
      </c>
      <c r="H614" t="inlineStr">
        <is>
          <t>Delhivery</t>
        </is>
      </c>
      <c r="I614" t="inlineStr">
        <is>
          <t>Bike</t>
        </is>
      </c>
      <c r="J614" t="inlineStr">
        <is>
          <t>Normal</t>
        </is>
      </c>
      <c r="K614" t="inlineStr">
        <is>
          <t>Booked</t>
        </is>
      </c>
      <c r="L614" t="n">
        <v>1775.12</v>
      </c>
      <c r="M614" t="n">
        <v>163</v>
      </c>
      <c r="N614" t="n">
        <v>31.84</v>
      </c>
      <c r="O614" t="n">
        <v>421.8</v>
      </c>
      <c r="P614" t="n">
        <v>582.83</v>
      </c>
      <c r="Q614">
        <f>ROUND(L614*M614*N614/1000+O614+P614,2)</f>
        <v/>
      </c>
      <c r="R614" t="inlineStr">
        <is>
          <t>No</t>
        </is>
      </c>
      <c r="S614">
        <f>IF(OR(E614="",D614=""),"",MAX(0,E614-D614))</f>
        <v/>
      </c>
      <c r="T614" t="inlineStr">
        <is>
          <t>No</t>
        </is>
      </c>
      <c r="U614" t="n">
        <v>30</v>
      </c>
      <c r="V614" t="inlineStr">
        <is>
          <t>COD</t>
        </is>
      </c>
      <c r="W614" t="n">
        <v>4</v>
      </c>
      <c r="X614" t="inlineStr">
        <is>
          <t>Weather</t>
        </is>
      </c>
    </row>
    <row r="615">
      <c r="A615" t="inlineStr">
        <is>
          <t>ORD-2026-00614</t>
        </is>
      </c>
      <c r="B615" t="inlineStr">
        <is>
          <t>CUST-0074</t>
        </is>
      </c>
      <c r="C615" s="3" t="n">
        <v>46226</v>
      </c>
      <c r="D615" s="3" t="n">
        <v>46233</v>
      </c>
      <c r="E615" s="3" t="n">
        <v>46234</v>
      </c>
      <c r="F615" t="inlineStr">
        <is>
          <t>Chennai</t>
        </is>
      </c>
      <c r="G615" t="inlineStr">
        <is>
          <t>Jaipur</t>
        </is>
      </c>
      <c r="H615" t="inlineStr">
        <is>
          <t>FedEx</t>
        </is>
      </c>
      <c r="I615" t="inlineStr">
        <is>
          <t>Truck</t>
        </is>
      </c>
      <c r="J615" t="inlineStr">
        <is>
          <t>Critical</t>
        </is>
      </c>
      <c r="K615" t="inlineStr">
        <is>
          <t>Delivered</t>
        </is>
      </c>
      <c r="L615" t="n">
        <v>738.9</v>
      </c>
      <c r="M615" t="n">
        <v>901</v>
      </c>
      <c r="N615" t="n">
        <v>14.4</v>
      </c>
      <c r="O615" t="n">
        <v>794.3</v>
      </c>
      <c r="P615" t="n">
        <v>1137.34</v>
      </c>
      <c r="Q615">
        <f>ROUND(L615*M615*N615/1000+O615+P615,2)</f>
        <v/>
      </c>
      <c r="R615" t="inlineStr">
        <is>
          <t>No</t>
        </is>
      </c>
      <c r="S615">
        <f>IF(OR(E615="",D615=""),"",MAX(0,E615-D615))</f>
        <v/>
      </c>
      <c r="T615" t="inlineStr">
        <is>
          <t>Yes</t>
        </is>
      </c>
      <c r="U615" t="n">
        <v>23</v>
      </c>
      <c r="V615" t="inlineStr">
        <is>
          <t>Failed</t>
        </is>
      </c>
      <c r="W615" t="n">
        <v>3</v>
      </c>
      <c r="X615" t="inlineStr">
        <is>
          <t>Damaged Package</t>
        </is>
      </c>
    </row>
    <row r="616">
      <c r="A616" t="inlineStr">
        <is>
          <t>ORD-2026-00615</t>
        </is>
      </c>
      <c r="B616" t="inlineStr">
        <is>
          <t>CUST-0176</t>
        </is>
      </c>
      <c r="C616" s="3" t="n">
        <v>46052</v>
      </c>
      <c r="D616" s="3" t="n">
        <v>46058</v>
      </c>
      <c r="E616" s="3" t="n">
        <v>46059</v>
      </c>
      <c r="F616" t="inlineStr">
        <is>
          <t>Bengaluru</t>
        </is>
      </c>
      <c r="G616" t="inlineStr">
        <is>
          <t>Ahmedabad</t>
        </is>
      </c>
      <c r="H616" t="inlineStr">
        <is>
          <t>FedEx</t>
        </is>
      </c>
      <c r="I616" t="inlineStr">
        <is>
          <t>Refrigerated Truck</t>
        </is>
      </c>
      <c r="J616" t="inlineStr">
        <is>
          <t>Normal</t>
        </is>
      </c>
      <c r="K616" t="inlineStr">
        <is>
          <t>Delivered</t>
        </is>
      </c>
      <c r="L616" t="n">
        <v>1934.32</v>
      </c>
      <c r="M616" t="n">
        <v>1986</v>
      </c>
      <c r="N616" t="n">
        <v>55.89</v>
      </c>
      <c r="O616" t="n">
        <v>17571.56</v>
      </c>
      <c r="P616" t="n">
        <v>909.5700000000001</v>
      </c>
      <c r="Q616">
        <f>ROUND(L616*M616*N616/1000+O616+P616,2)</f>
        <v/>
      </c>
      <c r="R616" t="inlineStr">
        <is>
          <t>No</t>
        </is>
      </c>
      <c r="S616">
        <f>IF(OR(E616="",D616=""),"",MAX(0,E616-D616))</f>
        <v/>
      </c>
      <c r="T616" t="inlineStr">
        <is>
          <t>No</t>
        </is>
      </c>
      <c r="U616" t="n">
        <v>8</v>
      </c>
      <c r="V616" t="inlineStr">
        <is>
          <t>COD</t>
        </is>
      </c>
      <c r="W616" t="n">
        <v>3</v>
      </c>
      <c r="X616" t="inlineStr">
        <is>
          <t>Damaged Package</t>
        </is>
      </c>
    </row>
    <row r="617">
      <c r="A617" t="inlineStr">
        <is>
          <t>ORD-2026-00616</t>
        </is>
      </c>
      <c r="B617" t="inlineStr">
        <is>
          <t>CUST-0210</t>
        </is>
      </c>
      <c r="C617" s="3" t="n">
        <v>46104</v>
      </c>
      <c r="D617" s="3" t="n">
        <v>46111</v>
      </c>
      <c r="E617" s="3" t="n">
        <v>46111</v>
      </c>
      <c r="F617" t="inlineStr">
        <is>
          <t>Ahmedabad</t>
        </is>
      </c>
      <c r="G617" t="inlineStr">
        <is>
          <t>Pune</t>
        </is>
      </c>
      <c r="H617" t="inlineStr">
        <is>
          <t>Delhivery</t>
        </is>
      </c>
      <c r="I617" t="inlineStr">
        <is>
          <t>Container</t>
        </is>
      </c>
      <c r="J617" t="inlineStr">
        <is>
          <t>Normal</t>
        </is>
      </c>
      <c r="K617" t="inlineStr">
        <is>
          <t>Delivered</t>
        </is>
      </c>
      <c r="L617" t="n">
        <v>997</v>
      </c>
      <c r="M617" t="n">
        <v>228</v>
      </c>
      <c r="N617" t="n">
        <v>23.29</v>
      </c>
      <c r="O617" t="n">
        <v>390.14</v>
      </c>
      <c r="P617" t="n">
        <v>522.97</v>
      </c>
      <c r="Q617">
        <f>ROUND(L617*M617*N617/1000+O617+P617,2)</f>
        <v/>
      </c>
      <c r="R617" t="inlineStr">
        <is>
          <t>Yes</t>
        </is>
      </c>
      <c r="S617">
        <f>IF(OR(E617="",D617=""),"",MAX(0,E617-D617))</f>
        <v/>
      </c>
      <c r="T617" t="inlineStr">
        <is>
          <t>Yes</t>
        </is>
      </c>
      <c r="U617" t="n">
        <v>69</v>
      </c>
      <c r="V617" t="inlineStr">
        <is>
          <t>Pending</t>
        </is>
      </c>
      <c r="W617" t="n">
        <v>1</v>
      </c>
      <c r="X617" t="inlineStr">
        <is>
          <t>Customs</t>
        </is>
      </c>
    </row>
    <row r="618">
      <c r="A618" t="inlineStr">
        <is>
          <t>ORD-2026-00617</t>
        </is>
      </c>
      <c r="B618" t="inlineStr">
        <is>
          <t>CUST-0234</t>
        </is>
      </c>
      <c r="C618" s="3" t="n">
        <v>46179</v>
      </c>
      <c r="D618" s="3" t="n">
        <v>46185</v>
      </c>
      <c r="E618" s="3" t="n">
        <v>46185</v>
      </c>
      <c r="F618" t="inlineStr">
        <is>
          <t>Hyderabad</t>
        </is>
      </c>
      <c r="G618" t="inlineStr">
        <is>
          <t>Surat</t>
        </is>
      </c>
      <c r="H618" t="inlineStr">
        <is>
          <t>BlueDart</t>
        </is>
      </c>
      <c r="I618" t="inlineStr">
        <is>
          <t>Van</t>
        </is>
      </c>
      <c r="J618" t="inlineStr">
        <is>
          <t>Normal</t>
        </is>
      </c>
      <c r="K618" t="inlineStr">
        <is>
          <t>Delivered</t>
        </is>
      </c>
      <c r="L618" t="n">
        <v>2375.72</v>
      </c>
      <c r="M618" t="n">
        <v>91</v>
      </c>
      <c r="N618" t="n">
        <v>53.74</v>
      </c>
      <c r="O618" t="n">
        <v>411.46</v>
      </c>
      <c r="P618" t="n">
        <v>1063</v>
      </c>
      <c r="Q618">
        <f>ROUND(L618*M618*N618/1000+O618+P618,2)</f>
        <v/>
      </c>
      <c r="R618" t="inlineStr">
        <is>
          <t>Yes</t>
        </is>
      </c>
      <c r="S618">
        <f>IF(OR(E618="",D618=""),"",MAX(0,E618-D618))</f>
        <v/>
      </c>
      <c r="T618" t="inlineStr">
        <is>
          <t>No</t>
        </is>
      </c>
      <c r="U618" t="n">
        <v>69</v>
      </c>
      <c r="V618" t="inlineStr">
        <is>
          <t>Pending</t>
        </is>
      </c>
      <c r="W618" t="n">
        <v>2</v>
      </c>
      <c r="X618" t="inlineStr">
        <is>
          <t>Customer Unavailable</t>
        </is>
      </c>
    </row>
    <row r="619">
      <c r="A619" t="inlineStr">
        <is>
          <t>ORD-2026-00618</t>
        </is>
      </c>
      <c r="B619" t="inlineStr">
        <is>
          <t>CUST-0241</t>
        </is>
      </c>
      <c r="C619" s="3" t="n">
        <v>46160</v>
      </c>
      <c r="D619" s="3" t="n">
        <v>46167</v>
      </c>
      <c r="E619" s="3" t="n">
        <v>46170</v>
      </c>
      <c r="F619" t="inlineStr">
        <is>
          <t>Ahmedabad</t>
        </is>
      </c>
      <c r="G619" t="inlineStr">
        <is>
          <t>Ahmedabad</t>
        </is>
      </c>
      <c r="H619" t="inlineStr">
        <is>
          <t>Aramex</t>
        </is>
      </c>
      <c r="I619" t="inlineStr">
        <is>
          <t>Van</t>
        </is>
      </c>
      <c r="J619" t="inlineStr">
        <is>
          <t>Low</t>
        </is>
      </c>
      <c r="K619" t="inlineStr">
        <is>
          <t>Delivered</t>
        </is>
      </c>
      <c r="L619" t="n">
        <v>2003.31</v>
      </c>
      <c r="M619" t="n">
        <v>1536</v>
      </c>
      <c r="N619" t="n">
        <v>26.9</v>
      </c>
      <c r="O619" t="n">
        <v>3554.04</v>
      </c>
      <c r="P619" t="n">
        <v>1105.33</v>
      </c>
      <c r="Q619">
        <f>ROUND(L619*M619*N619/1000+O619+P619,2)</f>
        <v/>
      </c>
      <c r="R619" t="inlineStr">
        <is>
          <t>No</t>
        </is>
      </c>
      <c r="S619">
        <f>IF(OR(E619="",D619=""),"",MAX(0,E619-D619))</f>
        <v/>
      </c>
      <c r="T619" t="inlineStr">
        <is>
          <t>No</t>
        </is>
      </c>
      <c r="U619" t="n">
        <v>63</v>
      </c>
      <c r="V619" t="inlineStr">
        <is>
          <t>Paid</t>
        </is>
      </c>
      <c r="W619" t="n">
        <v>2</v>
      </c>
      <c r="X619" t="inlineStr">
        <is>
          <t>Vehicle Breakdown</t>
        </is>
      </c>
    </row>
    <row r="620">
      <c r="A620" t="inlineStr">
        <is>
          <t>ORD-2026-00619</t>
        </is>
      </c>
      <c r="B620" t="inlineStr">
        <is>
          <t>CUST-0103</t>
        </is>
      </c>
      <c r="C620" s="3" t="n">
        <v>46100</v>
      </c>
      <c r="D620" s="3" t="n">
        <v>46101</v>
      </c>
      <c r="E620" s="3" t="n">
        <v>46101</v>
      </c>
      <c r="F620" t="inlineStr">
        <is>
          <t>Delhi</t>
        </is>
      </c>
      <c r="G620" t="inlineStr">
        <is>
          <t>Pune</t>
        </is>
      </c>
      <c r="H620" t="inlineStr">
        <is>
          <t>Aramex</t>
        </is>
      </c>
      <c r="I620" t="inlineStr">
        <is>
          <t>Van</t>
        </is>
      </c>
      <c r="J620" t="inlineStr">
        <is>
          <t>Low</t>
        </is>
      </c>
      <c r="K620" t="inlineStr">
        <is>
          <t>Delivered</t>
        </is>
      </c>
      <c r="L620" t="n">
        <v>618.65</v>
      </c>
      <c r="M620" t="n">
        <v>1120</v>
      </c>
      <c r="N620" t="n">
        <v>50.75</v>
      </c>
      <c r="O620" t="n">
        <v>2770.22</v>
      </c>
      <c r="P620" t="n">
        <v>579.23</v>
      </c>
      <c r="Q620">
        <f>ROUND(L620*M620*N620/1000+O620+P620,2)</f>
        <v/>
      </c>
      <c r="R620" t="inlineStr">
        <is>
          <t>Yes</t>
        </is>
      </c>
      <c r="S620">
        <f>IF(OR(E620="",D620=""),"",MAX(0,E620-D620))</f>
        <v/>
      </c>
      <c r="T620" t="inlineStr">
        <is>
          <t>Yes</t>
        </is>
      </c>
      <c r="U620" t="n">
        <v>65</v>
      </c>
      <c r="V620" t="inlineStr">
        <is>
          <t>Failed</t>
        </is>
      </c>
      <c r="W620" t="n">
        <v>1</v>
      </c>
      <c r="X620" t="inlineStr">
        <is>
          <t>None</t>
        </is>
      </c>
    </row>
    <row r="621">
      <c r="A621" t="inlineStr">
        <is>
          <t>ORD-2026-00620</t>
        </is>
      </c>
      <c r="B621" t="inlineStr">
        <is>
          <t>CUST-0191</t>
        </is>
      </c>
      <c r="C621" s="3" t="n">
        <v>46213</v>
      </c>
      <c r="D621" s="3" t="n">
        <v>46216</v>
      </c>
      <c r="E621" s="3" t="n">
        <v>46216</v>
      </c>
      <c r="F621" t="inlineStr">
        <is>
          <t>Ahmedabad</t>
        </is>
      </c>
      <c r="G621" t="inlineStr">
        <is>
          <t>Pune</t>
        </is>
      </c>
      <c r="H621" t="inlineStr">
        <is>
          <t>FedEx</t>
        </is>
      </c>
      <c r="I621" t="inlineStr">
        <is>
          <t>Container</t>
        </is>
      </c>
      <c r="J621" t="inlineStr">
        <is>
          <t>Normal</t>
        </is>
      </c>
      <c r="K621" t="inlineStr">
        <is>
          <t>Delivered</t>
        </is>
      </c>
      <c r="L621" t="n">
        <v>978.11</v>
      </c>
      <c r="M621" t="n">
        <v>2485</v>
      </c>
      <c r="N621" t="n">
        <v>56.98</v>
      </c>
      <c r="O621" t="n">
        <v>10676.13</v>
      </c>
      <c r="P621" t="n">
        <v>649.23</v>
      </c>
      <c r="Q621">
        <f>ROUND(L621*M621*N621/1000+O621+P621,2)</f>
        <v/>
      </c>
      <c r="R621" t="inlineStr">
        <is>
          <t>Yes</t>
        </is>
      </c>
      <c r="S621">
        <f>IF(OR(E621="",D621=""),"",MAX(0,E621-D621))</f>
        <v/>
      </c>
      <c r="T621" t="inlineStr">
        <is>
          <t>Yes</t>
        </is>
      </c>
      <c r="U621" t="n">
        <v>34</v>
      </c>
      <c r="V621" t="inlineStr">
        <is>
          <t>Failed</t>
        </is>
      </c>
      <c r="W621" t="n">
        <v>4</v>
      </c>
      <c r="X621" t="inlineStr">
        <is>
          <t>Vehicle Breakdown</t>
        </is>
      </c>
    </row>
    <row r="622">
      <c r="A622" t="inlineStr">
        <is>
          <t>ORD-2026-00621</t>
        </is>
      </c>
      <c r="B622" t="inlineStr">
        <is>
          <t>CUST-0005</t>
        </is>
      </c>
      <c r="C622" s="3" t="n">
        <v>46132</v>
      </c>
      <c r="D622" s="3" t="n">
        <v>46134</v>
      </c>
      <c r="E622" s="3" t="n">
        <v>46134</v>
      </c>
      <c r="F622" t="inlineStr">
        <is>
          <t>Jaipur</t>
        </is>
      </c>
      <c r="G622" t="inlineStr">
        <is>
          <t>Chennai</t>
        </is>
      </c>
      <c r="H622" t="inlineStr">
        <is>
          <t>FedEx</t>
        </is>
      </c>
      <c r="I622" t="inlineStr">
        <is>
          <t>Bike</t>
        </is>
      </c>
      <c r="J622" t="inlineStr">
        <is>
          <t>Low</t>
        </is>
      </c>
      <c r="K622" t="inlineStr">
        <is>
          <t>Delivered</t>
        </is>
      </c>
      <c r="L622" t="n">
        <v>696.76</v>
      </c>
      <c r="M622" t="n">
        <v>1169</v>
      </c>
      <c r="N622" t="n">
        <v>59.74</v>
      </c>
      <c r="O622" t="n">
        <v>3016.48</v>
      </c>
      <c r="P622" t="n">
        <v>382.03</v>
      </c>
      <c r="Q622">
        <f>ROUND(L622*M622*N622/1000+O622+P622,2)</f>
        <v/>
      </c>
      <c r="R622" t="inlineStr">
        <is>
          <t>Yes</t>
        </is>
      </c>
      <c r="S622">
        <f>IF(OR(E622="",D622=""),"",MAX(0,E622-D622))</f>
        <v/>
      </c>
      <c r="T622" t="inlineStr">
        <is>
          <t>No</t>
        </is>
      </c>
      <c r="U622" t="n">
        <v>29</v>
      </c>
      <c r="V622" t="inlineStr">
        <is>
          <t>Paid</t>
        </is>
      </c>
      <c r="W622" t="n">
        <v>4</v>
      </c>
      <c r="X622" t="inlineStr">
        <is>
          <t>Customer Unavailable</t>
        </is>
      </c>
    </row>
    <row r="623">
      <c r="A623" t="inlineStr">
        <is>
          <t>ORD-2026-00622</t>
        </is>
      </c>
      <c r="B623" t="inlineStr">
        <is>
          <t>CUST-0144</t>
        </is>
      </c>
      <c r="C623" s="3" t="n">
        <v>46082</v>
      </c>
      <c r="D623" s="3" t="n">
        <v>46090</v>
      </c>
      <c r="E623" s="3" t="n">
        <v>46090</v>
      </c>
      <c r="F623" t="inlineStr">
        <is>
          <t>Delhi</t>
        </is>
      </c>
      <c r="G623" t="inlineStr">
        <is>
          <t>Bengaluru</t>
        </is>
      </c>
      <c r="H623" t="inlineStr">
        <is>
          <t>Aramex</t>
        </is>
      </c>
      <c r="I623" t="inlineStr">
        <is>
          <t>Container</t>
        </is>
      </c>
      <c r="J623" t="inlineStr">
        <is>
          <t>Normal</t>
        </is>
      </c>
      <c r="K623" t="inlineStr">
        <is>
          <t>Delivered</t>
        </is>
      </c>
      <c r="L623" t="n">
        <v>1607.23</v>
      </c>
      <c r="M623" t="n">
        <v>1366</v>
      </c>
      <c r="N623" t="n">
        <v>16.19</v>
      </c>
      <c r="O623" t="n">
        <v>2409.75</v>
      </c>
      <c r="P623" t="n">
        <v>143.78</v>
      </c>
      <c r="Q623">
        <f>ROUND(L623*M623*N623/1000+O623+P623,2)</f>
        <v/>
      </c>
      <c r="R623" t="inlineStr">
        <is>
          <t>Yes</t>
        </is>
      </c>
      <c r="S623">
        <f>IF(OR(E623="",D623=""),"",MAX(0,E623-D623))</f>
        <v/>
      </c>
      <c r="T623" t="inlineStr">
        <is>
          <t>Yes</t>
        </is>
      </c>
      <c r="U623" t="n">
        <v>19</v>
      </c>
      <c r="V623" t="inlineStr">
        <is>
          <t>Failed</t>
        </is>
      </c>
      <c r="W623" t="n">
        <v>5</v>
      </c>
      <c r="X623" t="inlineStr">
        <is>
          <t>Customer Unavailable</t>
        </is>
      </c>
    </row>
    <row r="624">
      <c r="A624" t="inlineStr">
        <is>
          <t>ORD-2026-00623</t>
        </is>
      </c>
      <c r="B624" t="inlineStr">
        <is>
          <t>CUST-0154</t>
        </is>
      </c>
      <c r="C624" s="3" t="n">
        <v>46144</v>
      </c>
      <c r="D624" s="3" t="n">
        <v>46148</v>
      </c>
      <c r="E624" s="3" t="n">
        <v>46148</v>
      </c>
      <c r="F624" t="inlineStr">
        <is>
          <t>Chennai</t>
        </is>
      </c>
      <c r="G624" t="inlineStr">
        <is>
          <t>Ahmedabad</t>
        </is>
      </c>
      <c r="H624" t="inlineStr">
        <is>
          <t>FedEx</t>
        </is>
      </c>
      <c r="I624" t="inlineStr">
        <is>
          <t>Truck</t>
        </is>
      </c>
      <c r="J624" t="inlineStr">
        <is>
          <t>Critical</t>
        </is>
      </c>
      <c r="K624" t="inlineStr">
        <is>
          <t>Delivered</t>
        </is>
      </c>
      <c r="L624" t="n">
        <v>1029.94</v>
      </c>
      <c r="M624" t="n">
        <v>1388</v>
      </c>
      <c r="N624" t="n">
        <v>55.56</v>
      </c>
      <c r="O624" t="n">
        <v>2556.77</v>
      </c>
      <c r="P624" t="n">
        <v>1039.72</v>
      </c>
      <c r="Q624">
        <f>ROUND(L624*M624*N624/1000+O624+P624,2)</f>
        <v/>
      </c>
      <c r="R624" t="inlineStr">
        <is>
          <t>Yes</t>
        </is>
      </c>
      <c r="S624">
        <f>IF(OR(E624="",D624=""),"",MAX(0,E624-D624))</f>
        <v/>
      </c>
      <c r="T624" t="inlineStr">
        <is>
          <t>No</t>
        </is>
      </c>
      <c r="U624" t="n">
        <v>41</v>
      </c>
      <c r="V624" t="inlineStr">
        <is>
          <t>Pending</t>
        </is>
      </c>
      <c r="W624" t="n">
        <v>3</v>
      </c>
      <c r="X624" t="inlineStr">
        <is>
          <t>Weather</t>
        </is>
      </c>
    </row>
    <row r="625">
      <c r="A625" t="inlineStr">
        <is>
          <t>ORD-2026-00624</t>
        </is>
      </c>
      <c r="B625" t="inlineStr">
        <is>
          <t>CUST-0033</t>
        </is>
      </c>
      <c r="C625" s="3" t="n">
        <v>46204</v>
      </c>
      <c r="D625" s="3" t="n">
        <v>46212</v>
      </c>
      <c r="E625" s="3" t="n">
        <v>46212</v>
      </c>
      <c r="F625" t="inlineStr">
        <is>
          <t>Ahmedabad</t>
        </is>
      </c>
      <c r="G625" t="inlineStr">
        <is>
          <t>Delhi</t>
        </is>
      </c>
      <c r="H625" t="inlineStr">
        <is>
          <t>DTDC</t>
        </is>
      </c>
      <c r="I625" t="inlineStr">
        <is>
          <t>Van</t>
        </is>
      </c>
      <c r="J625" t="inlineStr">
        <is>
          <t>Normal</t>
        </is>
      </c>
      <c r="K625" t="inlineStr">
        <is>
          <t>Delivered</t>
        </is>
      </c>
      <c r="L625" t="n">
        <v>2481.89</v>
      </c>
      <c r="M625" t="n">
        <v>338</v>
      </c>
      <c r="N625" t="n">
        <v>60.51</v>
      </c>
      <c r="O625" t="n">
        <v>2819.35</v>
      </c>
      <c r="P625" t="n">
        <v>134.71</v>
      </c>
      <c r="Q625">
        <f>ROUND(L625*M625*N625/1000+O625+P625,2)</f>
        <v/>
      </c>
      <c r="R625" t="inlineStr">
        <is>
          <t>Yes</t>
        </is>
      </c>
      <c r="S625">
        <f>IF(OR(E625="",D625=""),"",MAX(0,E625-D625))</f>
        <v/>
      </c>
      <c r="T625" t="inlineStr">
        <is>
          <t>Yes</t>
        </is>
      </c>
      <c r="U625" t="n">
        <v>57</v>
      </c>
      <c r="V625" t="inlineStr">
        <is>
          <t>Paid</t>
        </is>
      </c>
      <c r="W625" t="n">
        <v>1</v>
      </c>
      <c r="X625" t="inlineStr">
        <is>
          <t>Weather</t>
        </is>
      </c>
    </row>
    <row r="626">
      <c r="A626" t="inlineStr">
        <is>
          <t>ORD-2026-00625</t>
        </is>
      </c>
      <c r="B626" t="inlineStr">
        <is>
          <t>CUST-0076</t>
        </is>
      </c>
      <c r="C626" s="3" t="n">
        <v>46149</v>
      </c>
      <c r="D626" s="3" t="n">
        <v>46152</v>
      </c>
      <c r="E626" s="3" t="n">
        <v>46153</v>
      </c>
      <c r="F626" t="inlineStr">
        <is>
          <t>Pune</t>
        </is>
      </c>
      <c r="G626" t="inlineStr">
        <is>
          <t>Surat</t>
        </is>
      </c>
      <c r="H626" t="inlineStr">
        <is>
          <t>FedEx</t>
        </is>
      </c>
      <c r="I626" t="inlineStr">
        <is>
          <t>Bike</t>
        </is>
      </c>
      <c r="J626" t="inlineStr">
        <is>
          <t>High</t>
        </is>
      </c>
      <c r="K626" t="inlineStr">
        <is>
          <t>Delivered</t>
        </is>
      </c>
      <c r="L626" t="n">
        <v>350.09</v>
      </c>
      <c r="M626" t="n">
        <v>2245</v>
      </c>
      <c r="N626" t="n">
        <v>31.83</v>
      </c>
      <c r="O626" t="n">
        <v>764.4</v>
      </c>
      <c r="P626" t="n">
        <v>194.02</v>
      </c>
      <c r="Q626">
        <f>ROUND(L626*M626*N626/1000+O626+P626,2)</f>
        <v/>
      </c>
      <c r="R626" t="inlineStr">
        <is>
          <t>No</t>
        </is>
      </c>
      <c r="S626">
        <f>IF(OR(E626="",D626=""),"",MAX(0,E626-D626))</f>
        <v/>
      </c>
      <c r="T626" t="inlineStr">
        <is>
          <t>Yes</t>
        </is>
      </c>
      <c r="U626" t="n">
        <v>19</v>
      </c>
      <c r="V626" t="inlineStr">
        <is>
          <t>COD</t>
        </is>
      </c>
      <c r="W626" t="n">
        <v>5</v>
      </c>
      <c r="X626" t="inlineStr">
        <is>
          <t>Damaged Package</t>
        </is>
      </c>
    </row>
    <row r="627">
      <c r="A627" t="inlineStr">
        <is>
          <t>ORD-2026-00626</t>
        </is>
      </c>
      <c r="B627" t="inlineStr">
        <is>
          <t>CUST-0035</t>
        </is>
      </c>
      <c r="C627" s="3" t="n">
        <v>46075</v>
      </c>
      <c r="D627" s="3" t="n">
        <v>46081</v>
      </c>
      <c r="E627" s="3" t="n">
        <v>46081</v>
      </c>
      <c r="F627" t="inlineStr">
        <is>
          <t>Delhi</t>
        </is>
      </c>
      <c r="G627" t="inlineStr">
        <is>
          <t>Surat</t>
        </is>
      </c>
      <c r="H627" t="inlineStr">
        <is>
          <t>Maersk</t>
        </is>
      </c>
      <c r="I627" t="inlineStr">
        <is>
          <t>Container</t>
        </is>
      </c>
      <c r="J627" t="inlineStr">
        <is>
          <t>Low</t>
        </is>
      </c>
      <c r="K627" t="inlineStr">
        <is>
          <t>Delivered</t>
        </is>
      </c>
      <c r="L627" t="n">
        <v>1157.47</v>
      </c>
      <c r="M627" t="n">
        <v>1357</v>
      </c>
      <c r="N627" t="n">
        <v>60.84</v>
      </c>
      <c r="O627" t="n">
        <v>6995.78</v>
      </c>
      <c r="P627" t="n">
        <v>1281.55</v>
      </c>
      <c r="Q627">
        <f>ROUND(L627*M627*N627/1000+O627+P627,2)</f>
        <v/>
      </c>
      <c r="R627" t="inlineStr">
        <is>
          <t>Yes</t>
        </is>
      </c>
      <c r="S627">
        <f>IF(OR(E627="",D627=""),"",MAX(0,E627-D627))</f>
        <v/>
      </c>
      <c r="T627" t="inlineStr">
        <is>
          <t>No</t>
        </is>
      </c>
      <c r="U627" t="n">
        <v>54</v>
      </c>
      <c r="V627" t="inlineStr">
        <is>
          <t>Pending</t>
        </is>
      </c>
      <c r="W627" t="n">
        <v>2</v>
      </c>
      <c r="X627" t="inlineStr">
        <is>
          <t>Weather</t>
        </is>
      </c>
    </row>
    <row r="628">
      <c r="A628" t="inlineStr">
        <is>
          <t>ORD-2026-00627</t>
        </is>
      </c>
      <c r="B628" t="inlineStr">
        <is>
          <t>CUST-0153</t>
        </is>
      </c>
      <c r="C628" s="3" t="n">
        <v>46040</v>
      </c>
      <c r="D628" s="3" t="n">
        <v>46041</v>
      </c>
      <c r="E628" s="3" t="n">
        <v>46041</v>
      </c>
      <c r="F628" t="inlineStr">
        <is>
          <t>Delhi</t>
        </is>
      </c>
      <c r="G628" t="inlineStr">
        <is>
          <t>Mumbai</t>
        </is>
      </c>
      <c r="H628" t="inlineStr">
        <is>
          <t>FedEx</t>
        </is>
      </c>
      <c r="I628" t="inlineStr">
        <is>
          <t>Bike</t>
        </is>
      </c>
      <c r="J628" t="inlineStr">
        <is>
          <t>Normal</t>
        </is>
      </c>
      <c r="K628" t="inlineStr">
        <is>
          <t>Delivered</t>
        </is>
      </c>
      <c r="L628" t="n">
        <v>1735.27</v>
      </c>
      <c r="M628" t="n">
        <v>2207</v>
      </c>
      <c r="N628" t="n">
        <v>34.14</v>
      </c>
      <c r="O628" t="n">
        <v>4665.44</v>
      </c>
      <c r="P628" t="n">
        <v>944.96</v>
      </c>
      <c r="Q628">
        <f>ROUND(L628*M628*N628/1000+O628+P628,2)</f>
        <v/>
      </c>
      <c r="R628" t="inlineStr">
        <is>
          <t>Yes</t>
        </is>
      </c>
      <c r="S628">
        <f>IF(OR(E628="",D628=""),"",MAX(0,E628-D628))</f>
        <v/>
      </c>
      <c r="T628" t="inlineStr">
        <is>
          <t>No</t>
        </is>
      </c>
      <c r="U628" t="n">
        <v>2</v>
      </c>
      <c r="V628" t="inlineStr">
        <is>
          <t>Pending</t>
        </is>
      </c>
      <c r="W628" t="n">
        <v>3</v>
      </c>
      <c r="X628" t="inlineStr">
        <is>
          <t>Vehicle Breakdown</t>
        </is>
      </c>
    </row>
    <row r="629">
      <c r="A629" t="inlineStr">
        <is>
          <t>ORD-2026-00628</t>
        </is>
      </c>
      <c r="B629" t="inlineStr">
        <is>
          <t>CUST-0052</t>
        </is>
      </c>
      <c r="C629" s="3" t="n">
        <v>46233</v>
      </c>
      <c r="D629" s="3" t="n">
        <v>46240</v>
      </c>
      <c r="E629" s="3" t="n">
        <v>46241</v>
      </c>
      <c r="F629" t="inlineStr">
        <is>
          <t>Mumbai</t>
        </is>
      </c>
      <c r="G629" t="inlineStr">
        <is>
          <t>Kolkata</t>
        </is>
      </c>
      <c r="H629" t="inlineStr">
        <is>
          <t>DHL</t>
        </is>
      </c>
      <c r="I629" t="inlineStr">
        <is>
          <t>Van</t>
        </is>
      </c>
      <c r="J629" t="inlineStr">
        <is>
          <t>Normal</t>
        </is>
      </c>
      <c r="K629" t="inlineStr">
        <is>
          <t>Delivered</t>
        </is>
      </c>
      <c r="L629" t="n">
        <v>1561.44</v>
      </c>
      <c r="M629" t="n">
        <v>1656</v>
      </c>
      <c r="N629" t="n">
        <v>61.26</v>
      </c>
      <c r="O629" t="n">
        <v>10084.98</v>
      </c>
      <c r="P629" t="n">
        <v>969.5700000000001</v>
      </c>
      <c r="Q629">
        <f>ROUND(L629*M629*N629/1000+O629+P629,2)</f>
        <v/>
      </c>
      <c r="R629" t="inlineStr">
        <is>
          <t>No</t>
        </is>
      </c>
      <c r="S629">
        <f>IF(OR(E629="",D629=""),"",MAX(0,E629-D629))</f>
        <v/>
      </c>
      <c r="T629" t="inlineStr">
        <is>
          <t>No</t>
        </is>
      </c>
      <c r="U629" t="n">
        <v>23</v>
      </c>
      <c r="V629" t="inlineStr">
        <is>
          <t>COD</t>
        </is>
      </c>
      <c r="W629" t="n">
        <v>5</v>
      </c>
      <c r="X629" t="inlineStr">
        <is>
          <t>None</t>
        </is>
      </c>
    </row>
    <row r="630">
      <c r="A630" t="inlineStr">
        <is>
          <t>ORD-2026-00629</t>
        </is>
      </c>
      <c r="B630" t="inlineStr">
        <is>
          <t>CUST-0233</t>
        </is>
      </c>
      <c r="C630" s="3" t="n">
        <v>46055</v>
      </c>
      <c r="D630" s="3" t="n">
        <v>46062</v>
      </c>
      <c r="E630" s="3" t="n">
        <v>46062</v>
      </c>
      <c r="F630" t="inlineStr">
        <is>
          <t>Jaipur</t>
        </is>
      </c>
      <c r="G630" t="inlineStr">
        <is>
          <t>Bengaluru</t>
        </is>
      </c>
      <c r="H630" t="inlineStr">
        <is>
          <t>DHL</t>
        </is>
      </c>
      <c r="I630" t="inlineStr">
        <is>
          <t>Van</t>
        </is>
      </c>
      <c r="J630" t="inlineStr">
        <is>
          <t>Normal</t>
        </is>
      </c>
      <c r="K630" t="inlineStr">
        <is>
          <t>Delivered</t>
        </is>
      </c>
      <c r="L630" t="n">
        <v>1480.63</v>
      </c>
      <c r="M630" t="n">
        <v>1140</v>
      </c>
      <c r="N630" t="n">
        <v>63.1</v>
      </c>
      <c r="O630" t="n">
        <v>7906.69</v>
      </c>
      <c r="P630" t="n">
        <v>931.51</v>
      </c>
      <c r="Q630">
        <f>ROUND(L630*M630*N630/1000+O630+P630,2)</f>
        <v/>
      </c>
      <c r="R630" t="inlineStr">
        <is>
          <t>Yes</t>
        </is>
      </c>
      <c r="S630">
        <f>IF(OR(E630="",D630=""),"",MAX(0,E630-D630))</f>
        <v/>
      </c>
      <c r="T630" t="inlineStr">
        <is>
          <t>Yes</t>
        </is>
      </c>
      <c r="U630" t="n">
        <v>12</v>
      </c>
      <c r="V630" t="inlineStr">
        <is>
          <t>Pending</t>
        </is>
      </c>
      <c r="W630" t="n">
        <v>2</v>
      </c>
      <c r="X630" t="inlineStr">
        <is>
          <t>Address Error</t>
        </is>
      </c>
    </row>
    <row r="631">
      <c r="A631" t="inlineStr">
        <is>
          <t>ORD-2026-00630</t>
        </is>
      </c>
      <c r="B631" t="inlineStr">
        <is>
          <t>CUST-0078</t>
        </is>
      </c>
      <c r="C631" s="3" t="n">
        <v>46144</v>
      </c>
      <c r="D631" s="3" t="n">
        <v>46145</v>
      </c>
      <c r="E631" s="3" t="n">
        <v>46145</v>
      </c>
      <c r="F631" t="inlineStr">
        <is>
          <t>Surat</t>
        </is>
      </c>
      <c r="G631" t="inlineStr">
        <is>
          <t>Mumbai</t>
        </is>
      </c>
      <c r="H631" t="inlineStr">
        <is>
          <t>DHL</t>
        </is>
      </c>
      <c r="I631" t="inlineStr">
        <is>
          <t>Bike</t>
        </is>
      </c>
      <c r="J631" t="inlineStr">
        <is>
          <t>Critical</t>
        </is>
      </c>
      <c r="K631" t="inlineStr">
        <is>
          <t>Delivered</t>
        </is>
      </c>
      <c r="L631" t="n">
        <v>130.95</v>
      </c>
      <c r="M631" t="n">
        <v>2100</v>
      </c>
      <c r="N631" t="n">
        <v>54.01</v>
      </c>
      <c r="O631" t="n">
        <v>824.67</v>
      </c>
      <c r="P631" t="n">
        <v>718.1</v>
      </c>
      <c r="Q631">
        <f>ROUND(L631*M631*N631/1000+O631+P631,2)</f>
        <v/>
      </c>
      <c r="R631" t="inlineStr">
        <is>
          <t>Yes</t>
        </is>
      </c>
      <c r="S631">
        <f>IF(OR(E631="",D631=""),"",MAX(0,E631-D631))</f>
        <v/>
      </c>
      <c r="T631" t="inlineStr">
        <is>
          <t>No</t>
        </is>
      </c>
      <c r="U631" t="n">
        <v>50</v>
      </c>
      <c r="V631" t="inlineStr">
        <is>
          <t>Failed</t>
        </is>
      </c>
      <c r="W631" t="n">
        <v>3</v>
      </c>
      <c r="X631" t="inlineStr">
        <is>
          <t>Vehicle Breakdown</t>
        </is>
      </c>
    </row>
    <row r="632">
      <c r="A632" t="inlineStr">
        <is>
          <t>ORD-2026-00631</t>
        </is>
      </c>
      <c r="B632" t="inlineStr">
        <is>
          <t>CUST-0216</t>
        </is>
      </c>
      <c r="C632" s="3" t="n">
        <v>46237</v>
      </c>
      <c r="D632" s="3" t="n">
        <v>46243</v>
      </c>
      <c r="E632" s="3" t="n">
        <v>46243</v>
      </c>
      <c r="F632" t="inlineStr">
        <is>
          <t>Chennai</t>
        </is>
      </c>
      <c r="G632" t="inlineStr">
        <is>
          <t>Surat</t>
        </is>
      </c>
      <c r="H632" t="inlineStr">
        <is>
          <t>Delhivery</t>
        </is>
      </c>
      <c r="I632" t="inlineStr">
        <is>
          <t>Container</t>
        </is>
      </c>
      <c r="J632" t="inlineStr">
        <is>
          <t>High</t>
        </is>
      </c>
      <c r="K632" t="inlineStr">
        <is>
          <t>Delivered</t>
        </is>
      </c>
      <c r="L632" t="n">
        <v>2105.56</v>
      </c>
      <c r="M632" t="n">
        <v>685</v>
      </c>
      <c r="N632" t="n">
        <v>61.89</v>
      </c>
      <c r="O632" t="n">
        <v>7142.61</v>
      </c>
      <c r="P632" t="n">
        <v>1072.79</v>
      </c>
      <c r="Q632">
        <f>ROUND(L632*M632*N632/1000+O632+P632,2)</f>
        <v/>
      </c>
      <c r="R632" t="inlineStr">
        <is>
          <t>Yes</t>
        </is>
      </c>
      <c r="S632">
        <f>IF(OR(E632="",D632=""),"",MAX(0,E632-D632))</f>
        <v/>
      </c>
      <c r="T632" t="inlineStr">
        <is>
          <t>Yes</t>
        </is>
      </c>
      <c r="U632" t="n">
        <v>72</v>
      </c>
      <c r="V632" t="inlineStr">
        <is>
          <t>Failed</t>
        </is>
      </c>
      <c r="W632" t="n">
        <v>3</v>
      </c>
      <c r="X632" t="inlineStr">
        <is>
          <t>Address Error</t>
        </is>
      </c>
    </row>
    <row r="633">
      <c r="A633" t="inlineStr">
        <is>
          <t>ORD-2026-00632</t>
        </is>
      </c>
      <c r="B633" t="inlineStr">
        <is>
          <t>CUST-0241</t>
        </is>
      </c>
      <c r="C633" s="3" t="n">
        <v>46029</v>
      </c>
      <c r="D633" s="3" t="n">
        <v>46035</v>
      </c>
      <c r="E633" s="3" t="n">
        <v>46038</v>
      </c>
      <c r="F633" t="inlineStr">
        <is>
          <t>Bengaluru</t>
        </is>
      </c>
      <c r="G633" t="inlineStr">
        <is>
          <t>Chennai</t>
        </is>
      </c>
      <c r="H633" t="inlineStr">
        <is>
          <t>FedEx</t>
        </is>
      </c>
      <c r="I633" t="inlineStr">
        <is>
          <t>Truck</t>
        </is>
      </c>
      <c r="J633" t="inlineStr">
        <is>
          <t>Low</t>
        </is>
      </c>
      <c r="K633" t="inlineStr">
        <is>
          <t>Delivered</t>
        </is>
      </c>
      <c r="L633" t="n">
        <v>865.3099999999999</v>
      </c>
      <c r="M633" t="n">
        <v>1742</v>
      </c>
      <c r="N633" t="n">
        <v>20.19</v>
      </c>
      <c r="O633" t="n">
        <v>1935.21</v>
      </c>
      <c r="P633" t="n">
        <v>1496.89</v>
      </c>
      <c r="Q633">
        <f>ROUND(L633*M633*N633/1000+O633+P633,2)</f>
        <v/>
      </c>
      <c r="R633" t="inlineStr">
        <is>
          <t>No</t>
        </is>
      </c>
      <c r="S633">
        <f>IF(OR(E633="",D633=""),"",MAX(0,E633-D633))</f>
        <v/>
      </c>
      <c r="T633" t="inlineStr">
        <is>
          <t>Yes</t>
        </is>
      </c>
      <c r="U633" t="n">
        <v>57</v>
      </c>
      <c r="V633" t="inlineStr">
        <is>
          <t>COD</t>
        </is>
      </c>
      <c r="W633" t="n">
        <v>5</v>
      </c>
      <c r="X633" t="inlineStr">
        <is>
          <t>Address Error</t>
        </is>
      </c>
    </row>
    <row r="634">
      <c r="A634" t="inlineStr">
        <is>
          <t>ORD-2026-00633</t>
        </is>
      </c>
      <c r="B634" t="inlineStr">
        <is>
          <t>CUST-0071</t>
        </is>
      </c>
      <c r="C634" s="3" t="n">
        <v>46024</v>
      </c>
      <c r="D634" s="3" t="n">
        <v>46029</v>
      </c>
      <c r="E634" s="3" t="n">
        <v>46029</v>
      </c>
      <c r="F634" t="inlineStr">
        <is>
          <t>Jaipur</t>
        </is>
      </c>
      <c r="G634" t="inlineStr">
        <is>
          <t>Chennai</t>
        </is>
      </c>
      <c r="H634" t="inlineStr">
        <is>
          <t>BlueDart</t>
        </is>
      </c>
      <c r="I634" t="inlineStr">
        <is>
          <t>Refrigerated Truck</t>
        </is>
      </c>
      <c r="J634" t="inlineStr">
        <is>
          <t>High</t>
        </is>
      </c>
      <c r="K634" t="inlineStr">
        <is>
          <t>Delivered</t>
        </is>
      </c>
      <c r="L634" t="n">
        <v>2289.56</v>
      </c>
      <c r="M634" t="n">
        <v>2064</v>
      </c>
      <c r="N634" t="n">
        <v>60.53</v>
      </c>
      <c r="O634" t="n">
        <v>18995.15</v>
      </c>
      <c r="P634" t="n">
        <v>69.62</v>
      </c>
      <c r="Q634">
        <f>ROUND(L634*M634*N634/1000+O634+P634,2)</f>
        <v/>
      </c>
      <c r="R634" t="inlineStr">
        <is>
          <t>Yes</t>
        </is>
      </c>
      <c r="S634">
        <f>IF(OR(E634="",D634=""),"",MAX(0,E634-D634))</f>
        <v/>
      </c>
      <c r="T634" t="inlineStr">
        <is>
          <t>Yes</t>
        </is>
      </c>
      <c r="U634" t="n">
        <v>74</v>
      </c>
      <c r="V634" t="inlineStr">
        <is>
          <t>Paid</t>
        </is>
      </c>
      <c r="W634" t="n">
        <v>4</v>
      </c>
      <c r="X634" t="inlineStr">
        <is>
          <t>Customs</t>
        </is>
      </c>
    </row>
    <row r="635">
      <c r="A635" t="inlineStr">
        <is>
          <t>ORD-2026-00634</t>
        </is>
      </c>
      <c r="B635" t="inlineStr">
        <is>
          <t>CUST-0229</t>
        </is>
      </c>
      <c r="C635" s="3" t="n">
        <v>46184</v>
      </c>
      <c r="D635" s="3" t="n">
        <v>46192</v>
      </c>
      <c r="E635" s="3" t="n">
        <v>46192</v>
      </c>
      <c r="F635" t="inlineStr">
        <is>
          <t>Delhi</t>
        </is>
      </c>
      <c r="G635" t="inlineStr">
        <is>
          <t>Delhi</t>
        </is>
      </c>
      <c r="H635" t="inlineStr">
        <is>
          <t>Aramex</t>
        </is>
      </c>
      <c r="I635" t="inlineStr">
        <is>
          <t>Truck</t>
        </is>
      </c>
      <c r="J635" t="inlineStr">
        <is>
          <t>Low</t>
        </is>
      </c>
      <c r="K635" t="inlineStr">
        <is>
          <t>Delivered</t>
        </is>
      </c>
      <c r="L635" t="n">
        <v>2187.4</v>
      </c>
      <c r="M635" t="n">
        <v>2239</v>
      </c>
      <c r="N635" t="n">
        <v>54.02</v>
      </c>
      <c r="O635" t="n">
        <v>8543.32</v>
      </c>
      <c r="P635" t="n">
        <v>62.68</v>
      </c>
      <c r="Q635">
        <f>ROUND(L635*M635*N635/1000+O635+P635,2)</f>
        <v/>
      </c>
      <c r="R635" t="inlineStr">
        <is>
          <t>Yes</t>
        </is>
      </c>
      <c r="S635">
        <f>IF(OR(E635="",D635=""),"",MAX(0,E635-D635))</f>
        <v/>
      </c>
      <c r="T635" t="inlineStr">
        <is>
          <t>No</t>
        </is>
      </c>
      <c r="U635" t="n">
        <v>16</v>
      </c>
      <c r="V635" t="inlineStr">
        <is>
          <t>Paid</t>
        </is>
      </c>
      <c r="W635" t="n">
        <v>4</v>
      </c>
      <c r="X635" t="inlineStr">
        <is>
          <t>Damaged Package</t>
        </is>
      </c>
    </row>
    <row r="636">
      <c r="A636" t="inlineStr">
        <is>
          <t>ORD-2026-00635</t>
        </is>
      </c>
      <c r="B636" t="inlineStr">
        <is>
          <t>CUST-0173</t>
        </is>
      </c>
      <c r="C636" s="3" t="n">
        <v>46204</v>
      </c>
      <c r="D636" s="3" t="n">
        <v>46205</v>
      </c>
      <c r="E636" s="3" t="n">
        <v>46205</v>
      </c>
      <c r="F636" t="inlineStr">
        <is>
          <t>Hyderabad</t>
        </is>
      </c>
      <c r="G636" t="inlineStr">
        <is>
          <t>Delhi</t>
        </is>
      </c>
      <c r="H636" t="inlineStr">
        <is>
          <t>DTDC</t>
        </is>
      </c>
      <c r="I636" t="inlineStr">
        <is>
          <t>Refrigerated Truck</t>
        </is>
      </c>
      <c r="J636" t="inlineStr">
        <is>
          <t>Low</t>
        </is>
      </c>
      <c r="K636" t="inlineStr">
        <is>
          <t>Delivered</t>
        </is>
      </c>
      <c r="L636" t="n">
        <v>694.0599999999999</v>
      </c>
      <c r="M636" t="n">
        <v>800</v>
      </c>
      <c r="N636" t="n">
        <v>45.34</v>
      </c>
      <c r="O636" t="n">
        <v>1869.17</v>
      </c>
      <c r="P636" t="n">
        <v>512.34</v>
      </c>
      <c r="Q636">
        <f>ROUND(L636*M636*N636/1000+O636+P636,2)</f>
        <v/>
      </c>
      <c r="R636" t="inlineStr">
        <is>
          <t>Yes</t>
        </is>
      </c>
      <c r="S636">
        <f>IF(OR(E636="",D636=""),"",MAX(0,E636-D636))</f>
        <v/>
      </c>
      <c r="T636" t="inlineStr">
        <is>
          <t>No</t>
        </is>
      </c>
      <c r="U636" t="n">
        <v>54</v>
      </c>
      <c r="V636" t="inlineStr">
        <is>
          <t>Paid</t>
        </is>
      </c>
      <c r="W636" t="n">
        <v>1</v>
      </c>
      <c r="X636" t="inlineStr">
        <is>
          <t>Address Error</t>
        </is>
      </c>
    </row>
    <row r="637">
      <c r="A637" t="inlineStr">
        <is>
          <t>ORD-2026-00636</t>
        </is>
      </c>
      <c r="B637" t="inlineStr">
        <is>
          <t>CUST-0163</t>
        </is>
      </c>
      <c r="C637" s="3" t="n">
        <v>46234</v>
      </c>
      <c r="D637" s="3" t="n">
        <v>46237</v>
      </c>
      <c r="E637" s="3" t="n">
        <v>46238</v>
      </c>
      <c r="F637" t="inlineStr">
        <is>
          <t>Ahmedabad</t>
        </is>
      </c>
      <c r="G637" t="inlineStr">
        <is>
          <t>Pune</t>
        </is>
      </c>
      <c r="H637" t="inlineStr">
        <is>
          <t>FedEx</t>
        </is>
      </c>
      <c r="I637" t="inlineStr">
        <is>
          <t>Bike</t>
        </is>
      </c>
      <c r="J637" t="inlineStr">
        <is>
          <t>High</t>
        </is>
      </c>
      <c r="K637" t="inlineStr">
        <is>
          <t>Delivered</t>
        </is>
      </c>
      <c r="L637" t="n">
        <v>1108.78</v>
      </c>
      <c r="M637" t="n">
        <v>1133</v>
      </c>
      <c r="N637" t="n">
        <v>42.69</v>
      </c>
      <c r="O637" t="n">
        <v>3825</v>
      </c>
      <c r="P637" t="n">
        <v>625.6900000000001</v>
      </c>
      <c r="Q637">
        <f>ROUND(L637*M637*N637/1000+O637+P637,2)</f>
        <v/>
      </c>
      <c r="R637" t="inlineStr">
        <is>
          <t>No</t>
        </is>
      </c>
      <c r="S637">
        <f>IF(OR(E637="",D637=""),"",MAX(0,E637-D637))</f>
        <v/>
      </c>
      <c r="T637" t="inlineStr">
        <is>
          <t>Yes</t>
        </is>
      </c>
      <c r="U637" t="n">
        <v>44</v>
      </c>
      <c r="V637" t="inlineStr">
        <is>
          <t>Failed</t>
        </is>
      </c>
      <c r="W637" t="n">
        <v>5</v>
      </c>
      <c r="X637" t="inlineStr">
        <is>
          <t>Customer Unavailable</t>
        </is>
      </c>
    </row>
    <row r="638">
      <c r="A638" t="inlineStr">
        <is>
          <t>ORD-2026-00637</t>
        </is>
      </c>
      <c r="B638" t="inlineStr">
        <is>
          <t>CUST-0161</t>
        </is>
      </c>
      <c r="C638" s="3" t="n">
        <v>46201</v>
      </c>
      <c r="D638" s="3" t="n">
        <v>46203</v>
      </c>
      <c r="E638" s="3" t="n">
        <v>46204</v>
      </c>
      <c r="F638" t="inlineStr">
        <is>
          <t>Ahmedabad</t>
        </is>
      </c>
      <c r="G638" t="inlineStr">
        <is>
          <t>Delhi</t>
        </is>
      </c>
      <c r="H638" t="inlineStr">
        <is>
          <t>Aramex</t>
        </is>
      </c>
      <c r="I638" t="inlineStr">
        <is>
          <t>Van</t>
        </is>
      </c>
      <c r="J638" t="inlineStr">
        <is>
          <t>Normal</t>
        </is>
      </c>
      <c r="K638" t="inlineStr">
        <is>
          <t>Delivered</t>
        </is>
      </c>
      <c r="L638" t="n">
        <v>291.1</v>
      </c>
      <c r="M638" t="n">
        <v>375</v>
      </c>
      <c r="N638" t="n">
        <v>18.4</v>
      </c>
      <c r="O638" t="n">
        <v>70.67</v>
      </c>
      <c r="P638" t="n">
        <v>489.9</v>
      </c>
      <c r="Q638">
        <f>ROUND(L638*M638*N638/1000+O638+P638,2)</f>
        <v/>
      </c>
      <c r="R638" t="inlineStr">
        <is>
          <t>No</t>
        </is>
      </c>
      <c r="S638">
        <f>IF(OR(E638="",D638=""),"",MAX(0,E638-D638))</f>
        <v/>
      </c>
      <c r="T638" t="inlineStr">
        <is>
          <t>No</t>
        </is>
      </c>
      <c r="U638" t="n">
        <v>59</v>
      </c>
      <c r="V638" t="inlineStr">
        <is>
          <t>Paid</t>
        </is>
      </c>
      <c r="W638" t="n">
        <v>2</v>
      </c>
      <c r="X638" t="inlineStr">
        <is>
          <t>Vehicle Breakdown</t>
        </is>
      </c>
    </row>
    <row r="639">
      <c r="A639" t="inlineStr">
        <is>
          <t>ORD-2026-00638</t>
        </is>
      </c>
      <c r="B639" t="inlineStr">
        <is>
          <t>CUST-0081</t>
        </is>
      </c>
      <c r="C639" s="3" t="n">
        <v>46237</v>
      </c>
      <c r="D639" s="3" t="n">
        <v>46241</v>
      </c>
      <c r="E639" s="3" t="n">
        <v>46243</v>
      </c>
      <c r="F639" t="inlineStr">
        <is>
          <t>Chennai</t>
        </is>
      </c>
      <c r="G639" t="inlineStr">
        <is>
          <t>Bengaluru</t>
        </is>
      </c>
      <c r="H639" t="inlineStr">
        <is>
          <t>Aramex</t>
        </is>
      </c>
      <c r="I639" t="inlineStr">
        <is>
          <t>Truck</t>
        </is>
      </c>
      <c r="J639" t="inlineStr">
        <is>
          <t>High</t>
        </is>
      </c>
      <c r="K639" t="inlineStr">
        <is>
          <t>Delivered</t>
        </is>
      </c>
      <c r="L639" t="n">
        <v>776.5599999999999</v>
      </c>
      <c r="M639" t="n">
        <v>1558</v>
      </c>
      <c r="N639" t="n">
        <v>48.24</v>
      </c>
      <c r="O639" t="n">
        <v>2374.29</v>
      </c>
      <c r="P639" t="n">
        <v>227.83</v>
      </c>
      <c r="Q639">
        <f>ROUND(L639*M639*N639/1000+O639+P639,2)</f>
        <v/>
      </c>
      <c r="R639" t="inlineStr">
        <is>
          <t>No</t>
        </is>
      </c>
      <c r="S639">
        <f>IF(OR(E639="",D639=""),"",MAX(0,E639-D639))</f>
        <v/>
      </c>
      <c r="T639" t="inlineStr">
        <is>
          <t>Yes</t>
        </is>
      </c>
      <c r="U639" t="n">
        <v>23</v>
      </c>
      <c r="V639" t="inlineStr">
        <is>
          <t>COD</t>
        </is>
      </c>
      <c r="W639" t="n">
        <v>3</v>
      </c>
      <c r="X639" t="inlineStr">
        <is>
          <t>Damaged Package</t>
        </is>
      </c>
    </row>
    <row r="640">
      <c r="A640" t="inlineStr">
        <is>
          <t>ORD-2026-00639</t>
        </is>
      </c>
      <c r="B640" t="inlineStr">
        <is>
          <t>CUST-0044</t>
        </is>
      </c>
      <c r="C640" s="3" t="n">
        <v>46135</v>
      </c>
      <c r="D640" s="3" t="n">
        <v>46140</v>
      </c>
      <c r="E640" s="3" t="n">
        <v>46140</v>
      </c>
      <c r="F640" t="inlineStr">
        <is>
          <t>Ahmedabad</t>
        </is>
      </c>
      <c r="G640" t="inlineStr">
        <is>
          <t>Kolkata</t>
        </is>
      </c>
      <c r="H640" t="inlineStr">
        <is>
          <t>Delhivery</t>
        </is>
      </c>
      <c r="I640" t="inlineStr">
        <is>
          <t>Truck</t>
        </is>
      </c>
      <c r="J640" t="inlineStr">
        <is>
          <t>Normal</t>
        </is>
      </c>
      <c r="K640" t="inlineStr">
        <is>
          <t>Delivered</t>
        </is>
      </c>
      <c r="L640" t="n">
        <v>909.35</v>
      </c>
      <c r="M640" t="n">
        <v>2633</v>
      </c>
      <c r="N640" t="n">
        <v>37.81</v>
      </c>
      <c r="O640" t="n">
        <v>7221.51</v>
      </c>
      <c r="P640" t="n">
        <v>1036.82</v>
      </c>
      <c r="Q640">
        <f>ROUND(L640*M640*N640/1000+O640+P640,2)</f>
        <v/>
      </c>
      <c r="R640" t="inlineStr">
        <is>
          <t>Yes</t>
        </is>
      </c>
      <c r="S640">
        <f>IF(OR(E640="",D640=""),"",MAX(0,E640-D640))</f>
        <v/>
      </c>
      <c r="T640" t="inlineStr">
        <is>
          <t>No</t>
        </is>
      </c>
      <c r="U640" t="n">
        <v>45</v>
      </c>
      <c r="V640" t="inlineStr">
        <is>
          <t>COD</t>
        </is>
      </c>
      <c r="W640" t="n">
        <v>2</v>
      </c>
      <c r="X640" t="inlineStr">
        <is>
          <t>Vehicle Breakdown</t>
        </is>
      </c>
    </row>
    <row r="641">
      <c r="A641" t="inlineStr">
        <is>
          <t>ORD-2026-00640</t>
        </is>
      </c>
      <c r="B641" t="inlineStr">
        <is>
          <t>CUST-0162</t>
        </is>
      </c>
      <c r="C641" s="3" t="n">
        <v>46202</v>
      </c>
      <c r="D641" s="3" t="n">
        <v>46207</v>
      </c>
      <c r="E641" s="3" t="n">
        <v>46207</v>
      </c>
      <c r="F641" t="inlineStr">
        <is>
          <t>Delhi</t>
        </is>
      </c>
      <c r="G641" t="inlineStr">
        <is>
          <t>Jaipur</t>
        </is>
      </c>
      <c r="H641" t="inlineStr">
        <is>
          <t>DHL</t>
        </is>
      </c>
      <c r="I641" t="inlineStr">
        <is>
          <t>Container</t>
        </is>
      </c>
      <c r="J641" t="inlineStr">
        <is>
          <t>High</t>
        </is>
      </c>
      <c r="K641" t="inlineStr">
        <is>
          <t>Delivered</t>
        </is>
      </c>
      <c r="L641" t="n">
        <v>645.91</v>
      </c>
      <c r="M641" t="n">
        <v>1920</v>
      </c>
      <c r="N641" t="n">
        <v>22.87</v>
      </c>
      <c r="O641" t="n">
        <v>2419.72</v>
      </c>
      <c r="P641" t="n">
        <v>785.2</v>
      </c>
      <c r="Q641">
        <f>ROUND(L641*M641*N641/1000+O641+P641,2)</f>
        <v/>
      </c>
      <c r="R641" t="inlineStr">
        <is>
          <t>Yes</t>
        </is>
      </c>
      <c r="S641">
        <f>IF(OR(E641="",D641=""),"",MAX(0,E641-D641))</f>
        <v/>
      </c>
      <c r="T641" t="inlineStr">
        <is>
          <t>No</t>
        </is>
      </c>
      <c r="U641" t="n">
        <v>73</v>
      </c>
      <c r="V641" t="inlineStr">
        <is>
          <t>Failed</t>
        </is>
      </c>
      <c r="W641" t="n">
        <v>5</v>
      </c>
      <c r="X641" t="inlineStr">
        <is>
          <t>None</t>
        </is>
      </c>
    </row>
    <row r="642">
      <c r="A642" t="inlineStr">
        <is>
          <t>ORD-2026-00641</t>
        </is>
      </c>
      <c r="B642" t="inlineStr">
        <is>
          <t>CUST-0048</t>
        </is>
      </c>
      <c r="C642" s="3" t="n">
        <v>46105</v>
      </c>
      <c r="D642" s="3" t="n">
        <v>46107</v>
      </c>
      <c r="E642" s="3" t="n">
        <v>46108</v>
      </c>
      <c r="F642" t="inlineStr">
        <is>
          <t>Hyderabad</t>
        </is>
      </c>
      <c r="G642" t="inlineStr">
        <is>
          <t>Pune</t>
        </is>
      </c>
      <c r="H642" t="inlineStr">
        <is>
          <t>DHL</t>
        </is>
      </c>
      <c r="I642" t="inlineStr">
        <is>
          <t>Container</t>
        </is>
      </c>
      <c r="J642" t="inlineStr">
        <is>
          <t>Normal</t>
        </is>
      </c>
      <c r="K642" t="inlineStr">
        <is>
          <t>Delivered</t>
        </is>
      </c>
      <c r="L642" t="n">
        <v>20.24</v>
      </c>
      <c r="M642" t="n">
        <v>1731</v>
      </c>
      <c r="N642" t="n">
        <v>35.1</v>
      </c>
      <c r="O642" t="n">
        <v>61.73</v>
      </c>
      <c r="P642" t="n">
        <v>1356.41</v>
      </c>
      <c r="Q642">
        <f>ROUND(L642*M642*N642/1000+O642+P642,2)</f>
        <v/>
      </c>
      <c r="R642" t="inlineStr">
        <is>
          <t>No</t>
        </is>
      </c>
      <c r="S642">
        <f>IF(OR(E642="",D642=""),"",MAX(0,E642-D642))</f>
        <v/>
      </c>
      <c r="T642" t="inlineStr">
        <is>
          <t>Yes</t>
        </is>
      </c>
      <c r="U642" t="n">
        <v>57</v>
      </c>
      <c r="V642" t="inlineStr">
        <is>
          <t>Failed</t>
        </is>
      </c>
      <c r="W642" t="n">
        <v>5</v>
      </c>
      <c r="X642" t="inlineStr">
        <is>
          <t>Customs</t>
        </is>
      </c>
    </row>
    <row r="643">
      <c r="A643" t="inlineStr">
        <is>
          <t>ORD-2026-00642</t>
        </is>
      </c>
      <c r="B643" t="inlineStr">
        <is>
          <t>CUST-0011</t>
        </is>
      </c>
      <c r="C643" s="3" t="n">
        <v>46200</v>
      </c>
      <c r="D643" s="3" t="n">
        <v>46207</v>
      </c>
      <c r="E643" s="3" t="n">
        <v>46209</v>
      </c>
      <c r="F643" t="inlineStr">
        <is>
          <t>Bengaluru</t>
        </is>
      </c>
      <c r="G643" t="inlineStr">
        <is>
          <t>Surat</t>
        </is>
      </c>
      <c r="H643" t="inlineStr">
        <is>
          <t>BlueDart</t>
        </is>
      </c>
      <c r="I643" t="inlineStr">
        <is>
          <t>Container</t>
        </is>
      </c>
      <c r="J643" t="inlineStr">
        <is>
          <t>Critical</t>
        </is>
      </c>
      <c r="K643" t="inlineStr">
        <is>
          <t>Delivered</t>
        </is>
      </c>
      <c r="L643" t="n">
        <v>609.35</v>
      </c>
      <c r="M643" t="n">
        <v>1533</v>
      </c>
      <c r="N643" t="n">
        <v>42.25</v>
      </c>
      <c r="O643" t="n">
        <v>2326.72</v>
      </c>
      <c r="P643" t="n">
        <v>613.71</v>
      </c>
      <c r="Q643">
        <f>ROUND(L643*M643*N643/1000+O643+P643,2)</f>
        <v/>
      </c>
      <c r="R643" t="inlineStr">
        <is>
          <t>No</t>
        </is>
      </c>
      <c r="S643">
        <f>IF(OR(E643="",D643=""),"",MAX(0,E643-D643))</f>
        <v/>
      </c>
      <c r="T643" t="inlineStr">
        <is>
          <t>No</t>
        </is>
      </c>
      <c r="U643" t="n">
        <v>74</v>
      </c>
      <c r="V643" t="inlineStr">
        <is>
          <t>Failed</t>
        </is>
      </c>
      <c r="W643" t="n">
        <v>5</v>
      </c>
      <c r="X643" t="inlineStr">
        <is>
          <t>None</t>
        </is>
      </c>
    </row>
    <row r="644">
      <c r="A644" t="inlineStr">
        <is>
          <t>ORD-2026-00643</t>
        </is>
      </c>
      <c r="B644" t="inlineStr">
        <is>
          <t>CUST-0034</t>
        </is>
      </c>
      <c r="C644" s="3" t="n">
        <v>46064</v>
      </c>
      <c r="D644" s="3" t="n">
        <v>46067</v>
      </c>
      <c r="E644" s="3" t="n">
        <v>46072</v>
      </c>
      <c r="F644" t="inlineStr">
        <is>
          <t>Hyderabad</t>
        </is>
      </c>
      <c r="G644" t="inlineStr">
        <is>
          <t>Ahmedabad</t>
        </is>
      </c>
      <c r="H644" t="inlineStr">
        <is>
          <t>BlueDart</t>
        </is>
      </c>
      <c r="I644" t="inlineStr">
        <is>
          <t>Refrigerated Truck</t>
        </is>
      </c>
      <c r="J644" t="inlineStr">
        <is>
          <t>Normal</t>
        </is>
      </c>
      <c r="K644" t="inlineStr">
        <is>
          <t>Delivered</t>
        </is>
      </c>
      <c r="L644" t="n">
        <v>2413.11</v>
      </c>
      <c r="M644" t="n">
        <v>2151</v>
      </c>
      <c r="N644" t="n">
        <v>19.31</v>
      </c>
      <c r="O644" t="n">
        <v>8854.93</v>
      </c>
      <c r="P644" t="n">
        <v>1132.74</v>
      </c>
      <c r="Q644">
        <f>ROUND(L644*M644*N644/1000+O644+P644,2)</f>
        <v/>
      </c>
      <c r="R644" t="inlineStr">
        <is>
          <t>No</t>
        </is>
      </c>
      <c r="S644">
        <f>IF(OR(E644="",D644=""),"",MAX(0,E644-D644))</f>
        <v/>
      </c>
      <c r="T644" t="inlineStr">
        <is>
          <t>No</t>
        </is>
      </c>
      <c r="U644" t="n">
        <v>59</v>
      </c>
      <c r="V644" t="inlineStr">
        <is>
          <t>Failed</t>
        </is>
      </c>
      <c r="W644" t="n">
        <v>2</v>
      </c>
      <c r="X644" t="inlineStr">
        <is>
          <t>Weather</t>
        </is>
      </c>
    </row>
    <row r="645">
      <c r="A645" t="inlineStr">
        <is>
          <t>ORD-2026-00644</t>
        </is>
      </c>
      <c r="B645" t="inlineStr">
        <is>
          <t>CUST-0063</t>
        </is>
      </c>
      <c r="C645" s="3" t="n">
        <v>46023</v>
      </c>
      <c r="D645" s="3" t="n">
        <v>46026</v>
      </c>
      <c r="E645" s="3" t="n">
        <v>46026</v>
      </c>
      <c r="F645" t="inlineStr">
        <is>
          <t>Delhi</t>
        </is>
      </c>
      <c r="G645" t="inlineStr">
        <is>
          <t>Surat</t>
        </is>
      </c>
      <c r="H645" t="inlineStr">
        <is>
          <t>Aramex</t>
        </is>
      </c>
      <c r="I645" t="inlineStr">
        <is>
          <t>Refrigerated Truck</t>
        </is>
      </c>
      <c r="J645" t="inlineStr">
        <is>
          <t>Low</t>
        </is>
      </c>
      <c r="K645" t="inlineStr">
        <is>
          <t>Delivered</t>
        </is>
      </c>
      <c r="L645" t="n">
        <v>769.16</v>
      </c>
      <c r="M645" t="n">
        <v>761</v>
      </c>
      <c r="N645" t="n">
        <v>21.46</v>
      </c>
      <c r="O645" t="n">
        <v>530.0700000000001</v>
      </c>
      <c r="P645" t="n">
        <v>153.45</v>
      </c>
      <c r="Q645">
        <f>ROUND(L645*M645*N645/1000+O645+P645,2)</f>
        <v/>
      </c>
      <c r="R645" t="inlineStr">
        <is>
          <t>Yes</t>
        </is>
      </c>
      <c r="S645">
        <f>IF(OR(E645="",D645=""),"",MAX(0,E645-D645))</f>
        <v/>
      </c>
      <c r="T645" t="inlineStr">
        <is>
          <t>No</t>
        </is>
      </c>
      <c r="U645" t="n">
        <v>21</v>
      </c>
      <c r="V645" t="inlineStr">
        <is>
          <t>COD</t>
        </is>
      </c>
      <c r="W645" t="n">
        <v>1</v>
      </c>
      <c r="X645" t="inlineStr">
        <is>
          <t>Weather</t>
        </is>
      </c>
    </row>
    <row r="646">
      <c r="A646" t="inlineStr">
        <is>
          <t>ORD-2026-00645</t>
        </is>
      </c>
      <c r="B646" t="inlineStr">
        <is>
          <t>CUST-0033</t>
        </is>
      </c>
      <c r="C646" s="3" t="n">
        <v>46163</v>
      </c>
      <c r="D646" s="3" t="n">
        <v>46170</v>
      </c>
      <c r="E646" s="3" t="n">
        <v>46171</v>
      </c>
      <c r="F646" t="inlineStr">
        <is>
          <t>Hyderabad</t>
        </is>
      </c>
      <c r="G646" t="inlineStr">
        <is>
          <t>Delhi</t>
        </is>
      </c>
      <c r="H646" t="inlineStr">
        <is>
          <t>Delhivery</t>
        </is>
      </c>
      <c r="I646" t="inlineStr">
        <is>
          <t>Refrigerated Truck</t>
        </is>
      </c>
      <c r="J646" t="inlineStr">
        <is>
          <t>High</t>
        </is>
      </c>
      <c r="K646" t="inlineStr">
        <is>
          <t>Delivered</t>
        </is>
      </c>
      <c r="L646" t="n">
        <v>1671.26</v>
      </c>
      <c r="M646" t="n">
        <v>1903</v>
      </c>
      <c r="N646" t="n">
        <v>48.25</v>
      </c>
      <c r="O646" t="n">
        <v>11629.31</v>
      </c>
      <c r="P646" t="n">
        <v>161.82</v>
      </c>
      <c r="Q646">
        <f>ROUND(L646*M646*N646/1000+O646+P646,2)</f>
        <v/>
      </c>
      <c r="R646" t="inlineStr">
        <is>
          <t>No</t>
        </is>
      </c>
      <c r="S646">
        <f>IF(OR(E646="",D646=""),"",MAX(0,E646-D646))</f>
        <v/>
      </c>
      <c r="T646" t="inlineStr">
        <is>
          <t>No</t>
        </is>
      </c>
      <c r="U646" t="n">
        <v>77</v>
      </c>
      <c r="V646" t="inlineStr">
        <is>
          <t>Failed</t>
        </is>
      </c>
      <c r="W646" t="n">
        <v>5</v>
      </c>
      <c r="X646" t="inlineStr">
        <is>
          <t>None</t>
        </is>
      </c>
    </row>
    <row r="647">
      <c r="A647" t="inlineStr">
        <is>
          <t>ORD-2026-00646</t>
        </is>
      </c>
      <c r="B647" t="inlineStr">
        <is>
          <t>CUST-0129</t>
        </is>
      </c>
      <c r="C647" s="3" t="n">
        <v>46111</v>
      </c>
      <c r="D647" s="3" t="n">
        <v>46119</v>
      </c>
      <c r="E647" s="3" t="n">
        <v>46120</v>
      </c>
      <c r="F647" t="inlineStr">
        <is>
          <t>Ahmedabad</t>
        </is>
      </c>
      <c r="G647" t="inlineStr">
        <is>
          <t>Kolkata</t>
        </is>
      </c>
      <c r="H647" t="inlineStr">
        <is>
          <t>DTDC</t>
        </is>
      </c>
      <c r="I647" t="inlineStr">
        <is>
          <t>Container</t>
        </is>
      </c>
      <c r="J647" t="inlineStr">
        <is>
          <t>Low</t>
        </is>
      </c>
      <c r="K647" t="inlineStr">
        <is>
          <t>Delivered</t>
        </is>
      </c>
      <c r="L647" t="n">
        <v>67.73</v>
      </c>
      <c r="M647" t="n">
        <v>2497</v>
      </c>
      <c r="N647" t="n">
        <v>18.16</v>
      </c>
      <c r="O647" t="n">
        <v>135.47</v>
      </c>
      <c r="P647" t="n">
        <v>556.1799999999999</v>
      </c>
      <c r="Q647">
        <f>ROUND(L647*M647*N647/1000+O647+P647,2)</f>
        <v/>
      </c>
      <c r="R647" t="inlineStr">
        <is>
          <t>No</t>
        </is>
      </c>
      <c r="S647">
        <f>IF(OR(E647="",D647=""),"",MAX(0,E647-D647))</f>
        <v/>
      </c>
      <c r="T647" t="inlineStr">
        <is>
          <t>Yes</t>
        </is>
      </c>
      <c r="U647" t="n">
        <v>18</v>
      </c>
      <c r="V647" t="inlineStr">
        <is>
          <t>Failed</t>
        </is>
      </c>
      <c r="W647" t="n">
        <v>2</v>
      </c>
      <c r="X647" t="inlineStr">
        <is>
          <t>None</t>
        </is>
      </c>
    </row>
    <row r="648">
      <c r="A648" t="inlineStr">
        <is>
          <t>ORD-2026-00647</t>
        </is>
      </c>
      <c r="B648" t="inlineStr">
        <is>
          <t>CUST-0124</t>
        </is>
      </c>
      <c r="C648" s="3" t="n">
        <v>46077</v>
      </c>
      <c r="D648" s="3" t="n">
        <v>46082</v>
      </c>
      <c r="E648" s="3" t="n">
        <v>46082</v>
      </c>
      <c r="F648" t="inlineStr">
        <is>
          <t>Ahmedabad</t>
        </is>
      </c>
      <c r="G648" t="inlineStr">
        <is>
          <t>Pune</t>
        </is>
      </c>
      <c r="H648" t="inlineStr">
        <is>
          <t>Delhivery</t>
        </is>
      </c>
      <c r="I648" t="inlineStr">
        <is>
          <t>Truck</t>
        </is>
      </c>
      <c r="J648" t="inlineStr">
        <is>
          <t>Normal</t>
        </is>
      </c>
      <c r="K648" t="inlineStr">
        <is>
          <t>Delivered</t>
        </is>
      </c>
      <c r="L648" t="n">
        <v>1635.29</v>
      </c>
      <c r="M648" t="n">
        <v>1748</v>
      </c>
      <c r="N648" t="n">
        <v>16.59</v>
      </c>
      <c r="O648" t="n">
        <v>2307.83</v>
      </c>
      <c r="P648" t="n">
        <v>1019.4</v>
      </c>
      <c r="Q648">
        <f>ROUND(L648*M648*N648/1000+O648+P648,2)</f>
        <v/>
      </c>
      <c r="R648" t="inlineStr">
        <is>
          <t>Yes</t>
        </is>
      </c>
      <c r="S648">
        <f>IF(OR(E648="",D648=""),"",MAX(0,E648-D648))</f>
        <v/>
      </c>
      <c r="T648" t="inlineStr">
        <is>
          <t>No</t>
        </is>
      </c>
      <c r="U648" t="n">
        <v>67</v>
      </c>
      <c r="V648" t="inlineStr">
        <is>
          <t>Paid</t>
        </is>
      </c>
      <c r="W648" t="n">
        <v>4</v>
      </c>
      <c r="X648" t="inlineStr">
        <is>
          <t>Customer Unavailable</t>
        </is>
      </c>
    </row>
    <row r="649">
      <c r="A649" t="inlineStr">
        <is>
          <t>ORD-2026-00648</t>
        </is>
      </c>
      <c r="B649" t="inlineStr">
        <is>
          <t>CUST-0176</t>
        </is>
      </c>
      <c r="C649" s="3" t="n">
        <v>46044</v>
      </c>
      <c r="D649" s="3" t="n">
        <v>46050</v>
      </c>
      <c r="E649" s="3" t="n">
        <v>46051</v>
      </c>
      <c r="F649" t="inlineStr">
        <is>
          <t>Jaipur</t>
        </is>
      </c>
      <c r="G649" t="inlineStr">
        <is>
          <t>Ahmedabad</t>
        </is>
      </c>
      <c r="H649" t="inlineStr">
        <is>
          <t>Delhivery</t>
        </is>
      </c>
      <c r="I649" t="inlineStr">
        <is>
          <t>Container</t>
        </is>
      </c>
      <c r="J649" t="inlineStr">
        <is>
          <t>Critical</t>
        </is>
      </c>
      <c r="K649" t="inlineStr">
        <is>
          <t>Delivered</t>
        </is>
      </c>
      <c r="L649" t="n">
        <v>2156.23</v>
      </c>
      <c r="M649" t="n">
        <v>55</v>
      </c>
      <c r="N649" t="n">
        <v>17.17</v>
      </c>
      <c r="O649" t="n">
        <v>76.81999999999999</v>
      </c>
      <c r="P649" t="n">
        <v>770.3200000000001</v>
      </c>
      <c r="Q649">
        <f>ROUND(L649*M649*N649/1000+O649+P649,2)</f>
        <v/>
      </c>
      <c r="R649" t="inlineStr">
        <is>
          <t>No</t>
        </is>
      </c>
      <c r="S649">
        <f>IF(OR(E649="",D649=""),"",MAX(0,E649-D649))</f>
        <v/>
      </c>
      <c r="T649" t="inlineStr">
        <is>
          <t>Yes</t>
        </is>
      </c>
      <c r="U649" t="n">
        <v>39</v>
      </c>
      <c r="V649" t="inlineStr">
        <is>
          <t>Failed</t>
        </is>
      </c>
      <c r="W649" t="n">
        <v>3</v>
      </c>
      <c r="X649" t="inlineStr">
        <is>
          <t>Damaged Package</t>
        </is>
      </c>
    </row>
    <row r="650">
      <c r="A650" t="inlineStr">
        <is>
          <t>ORD-2026-00649</t>
        </is>
      </c>
      <c r="B650" t="inlineStr">
        <is>
          <t>CUST-0249</t>
        </is>
      </c>
      <c r="C650" s="3" t="n">
        <v>46185</v>
      </c>
      <c r="D650" s="3" t="n">
        <v>46187</v>
      </c>
      <c r="E650" s="3" t="n">
        <v>46188</v>
      </c>
      <c r="F650" t="inlineStr">
        <is>
          <t>Hyderabad</t>
        </is>
      </c>
      <c r="G650" t="inlineStr">
        <is>
          <t>Mumbai</t>
        </is>
      </c>
      <c r="H650" t="inlineStr">
        <is>
          <t>Aramex</t>
        </is>
      </c>
      <c r="I650" t="inlineStr">
        <is>
          <t>Truck</t>
        </is>
      </c>
      <c r="J650" t="inlineStr">
        <is>
          <t>Critical</t>
        </is>
      </c>
      <c r="K650" t="inlineStr">
        <is>
          <t>Delivered</t>
        </is>
      </c>
      <c r="L650" t="n">
        <v>1125.95</v>
      </c>
      <c r="M650" t="n">
        <v>1532</v>
      </c>
      <c r="N650" t="n">
        <v>52.52</v>
      </c>
      <c r="O650" t="n">
        <v>6588.17</v>
      </c>
      <c r="P650" t="n">
        <v>1269.37</v>
      </c>
      <c r="Q650">
        <f>ROUND(L650*M650*N650/1000+O650+P650,2)</f>
        <v/>
      </c>
      <c r="R650" t="inlineStr">
        <is>
          <t>No</t>
        </is>
      </c>
      <c r="S650">
        <f>IF(OR(E650="",D650=""),"",MAX(0,E650-D650))</f>
        <v/>
      </c>
      <c r="T650" t="inlineStr">
        <is>
          <t>No</t>
        </is>
      </c>
      <c r="U650" t="n">
        <v>11</v>
      </c>
      <c r="V650" t="inlineStr">
        <is>
          <t>Pending</t>
        </is>
      </c>
      <c r="W650" t="n">
        <v>1</v>
      </c>
      <c r="X650" t="inlineStr">
        <is>
          <t>Vehicle Breakdown</t>
        </is>
      </c>
    </row>
    <row r="651">
      <c r="A651" t="inlineStr">
        <is>
          <t>ORD-2026-00650</t>
        </is>
      </c>
      <c r="B651" t="inlineStr">
        <is>
          <t>CUST-0223</t>
        </is>
      </c>
      <c r="C651" s="3" t="n">
        <v>46204</v>
      </c>
      <c r="D651" s="3" t="n">
        <v>46209</v>
      </c>
      <c r="E651" s="3" t="n">
        <v>46209</v>
      </c>
      <c r="F651" t="inlineStr">
        <is>
          <t>Jaipur</t>
        </is>
      </c>
      <c r="G651" t="inlineStr">
        <is>
          <t>Jaipur</t>
        </is>
      </c>
      <c r="H651" t="inlineStr">
        <is>
          <t>FedEx</t>
        </is>
      </c>
      <c r="I651" t="inlineStr">
        <is>
          <t>Van</t>
        </is>
      </c>
      <c r="J651" t="inlineStr">
        <is>
          <t>High</t>
        </is>
      </c>
      <c r="K651" t="inlineStr">
        <is>
          <t>Delivered</t>
        </is>
      </c>
      <c r="L651" t="n">
        <v>1819.21</v>
      </c>
      <c r="M651" t="n">
        <v>1868</v>
      </c>
      <c r="N651" t="n">
        <v>32.79</v>
      </c>
      <c r="O651" t="n">
        <v>6450.2</v>
      </c>
      <c r="P651" t="n">
        <v>78.97</v>
      </c>
      <c r="Q651">
        <f>ROUND(L651*M651*N651/1000+O651+P651,2)</f>
        <v/>
      </c>
      <c r="R651" t="inlineStr">
        <is>
          <t>Yes</t>
        </is>
      </c>
      <c r="S651">
        <f>IF(OR(E651="",D651=""),"",MAX(0,E651-D651))</f>
        <v/>
      </c>
      <c r="T651" t="inlineStr">
        <is>
          <t>No</t>
        </is>
      </c>
      <c r="U651" t="n">
        <v>55</v>
      </c>
      <c r="V651" t="inlineStr">
        <is>
          <t>COD</t>
        </is>
      </c>
      <c r="W651" t="n">
        <v>3</v>
      </c>
      <c r="X651" t="inlineStr">
        <is>
          <t>Customer Unavailable</t>
        </is>
      </c>
    </row>
    <row r="652">
      <c r="A652" t="inlineStr">
        <is>
          <t>ORD-2026-00651</t>
        </is>
      </c>
      <c r="B652" t="inlineStr">
        <is>
          <t>CUST-0029</t>
        </is>
      </c>
      <c r="C652" s="3" t="n">
        <v>46232</v>
      </c>
      <c r="D652" s="3" t="n">
        <v>46233</v>
      </c>
      <c r="E652" s="3" t="n">
        <v>46233</v>
      </c>
      <c r="F652" t="inlineStr">
        <is>
          <t>Hyderabad</t>
        </is>
      </c>
      <c r="G652" t="inlineStr">
        <is>
          <t>Ahmedabad</t>
        </is>
      </c>
      <c r="H652" t="inlineStr">
        <is>
          <t>DTDC</t>
        </is>
      </c>
      <c r="I652" t="inlineStr">
        <is>
          <t>Container</t>
        </is>
      </c>
      <c r="J652" t="inlineStr">
        <is>
          <t>Normal</t>
        </is>
      </c>
      <c r="K652" t="inlineStr">
        <is>
          <t>Delivered</t>
        </is>
      </c>
      <c r="L652" t="n">
        <v>892.53</v>
      </c>
      <c r="M652" t="n">
        <v>76</v>
      </c>
      <c r="N652" t="n">
        <v>33.47</v>
      </c>
      <c r="O652" t="n">
        <v>108.66</v>
      </c>
      <c r="P652" t="n">
        <v>72.70999999999999</v>
      </c>
      <c r="Q652">
        <f>ROUND(L652*M652*N652/1000+O652+P652,2)</f>
        <v/>
      </c>
      <c r="R652" t="inlineStr">
        <is>
          <t>Yes</t>
        </is>
      </c>
      <c r="S652">
        <f>IF(OR(E652="",D652=""),"",MAX(0,E652-D652))</f>
        <v/>
      </c>
      <c r="T652" t="inlineStr">
        <is>
          <t>Yes</t>
        </is>
      </c>
      <c r="U652" t="n">
        <v>11</v>
      </c>
      <c r="V652" t="inlineStr">
        <is>
          <t>Paid</t>
        </is>
      </c>
      <c r="W652" t="n">
        <v>2</v>
      </c>
      <c r="X652" t="inlineStr">
        <is>
          <t>Damaged Package</t>
        </is>
      </c>
    </row>
    <row r="653">
      <c r="A653" t="inlineStr">
        <is>
          <t>ORD-2026-00652</t>
        </is>
      </c>
      <c r="B653" t="inlineStr">
        <is>
          <t>CUST-0188</t>
        </is>
      </c>
      <c r="C653" s="3" t="n">
        <v>46060</v>
      </c>
      <c r="D653" s="3" t="n">
        <v>46068</v>
      </c>
      <c r="E653" s="3" t="n">
        <v>46068</v>
      </c>
      <c r="F653" t="inlineStr">
        <is>
          <t>Surat</t>
        </is>
      </c>
      <c r="G653" t="inlineStr">
        <is>
          <t>Kolkata</t>
        </is>
      </c>
      <c r="H653" t="inlineStr">
        <is>
          <t>Delhivery</t>
        </is>
      </c>
      <c r="I653" t="inlineStr">
        <is>
          <t>Van</t>
        </is>
      </c>
      <c r="J653" t="inlineStr">
        <is>
          <t>Low</t>
        </is>
      </c>
      <c r="K653" t="inlineStr">
        <is>
          <t>Delivered</t>
        </is>
      </c>
      <c r="L653" t="n">
        <v>2429.65</v>
      </c>
      <c r="M653" t="n">
        <v>2533</v>
      </c>
      <c r="N653" t="n">
        <v>21.91</v>
      </c>
      <c r="O653" t="n">
        <v>10724.47</v>
      </c>
      <c r="P653" t="n">
        <v>1255.68</v>
      </c>
      <c r="Q653">
        <f>ROUND(L653*M653*N653/1000+O653+P653,2)</f>
        <v/>
      </c>
      <c r="R653" t="inlineStr">
        <is>
          <t>Yes</t>
        </is>
      </c>
      <c r="S653">
        <f>IF(OR(E653="",D653=""),"",MAX(0,E653-D653))</f>
        <v/>
      </c>
      <c r="T653" t="inlineStr">
        <is>
          <t>No</t>
        </is>
      </c>
      <c r="U653" t="n">
        <v>48</v>
      </c>
      <c r="V653" t="inlineStr">
        <is>
          <t>Paid</t>
        </is>
      </c>
      <c r="W653" t="n">
        <v>2</v>
      </c>
      <c r="X653" t="inlineStr">
        <is>
          <t>Customs</t>
        </is>
      </c>
    </row>
    <row r="654">
      <c r="A654" t="inlineStr">
        <is>
          <t>ORD-2026-00653</t>
        </is>
      </c>
      <c r="B654" t="inlineStr">
        <is>
          <t>CUST-0244</t>
        </is>
      </c>
      <c r="C654" s="3" t="n">
        <v>46208</v>
      </c>
      <c r="D654" s="3" t="n">
        <v>46210</v>
      </c>
      <c r="E654" s="3" t="n">
        <v>46210</v>
      </c>
      <c r="F654" t="inlineStr">
        <is>
          <t>Pune</t>
        </is>
      </c>
      <c r="G654" t="inlineStr">
        <is>
          <t>Mumbai</t>
        </is>
      </c>
      <c r="H654" t="inlineStr">
        <is>
          <t>Aramex</t>
        </is>
      </c>
      <c r="I654" t="inlineStr">
        <is>
          <t>Container</t>
        </is>
      </c>
      <c r="J654" t="inlineStr">
        <is>
          <t>Low</t>
        </is>
      </c>
      <c r="K654" t="inlineStr">
        <is>
          <t>Delivered</t>
        </is>
      </c>
      <c r="L654" t="n">
        <v>197.37</v>
      </c>
      <c r="M654" t="n">
        <v>2613</v>
      </c>
      <c r="N654" t="n">
        <v>50.71</v>
      </c>
      <c r="O654" t="n">
        <v>1447.59</v>
      </c>
      <c r="P654" t="n">
        <v>53.13</v>
      </c>
      <c r="Q654">
        <f>ROUND(L654*M654*N654/1000+O654+P654,2)</f>
        <v/>
      </c>
      <c r="R654" t="inlineStr">
        <is>
          <t>Yes</t>
        </is>
      </c>
      <c r="S654">
        <f>IF(OR(E654="",D654=""),"",MAX(0,E654-D654))</f>
        <v/>
      </c>
      <c r="T654" t="inlineStr">
        <is>
          <t>Yes</t>
        </is>
      </c>
      <c r="U654" t="n">
        <v>74</v>
      </c>
      <c r="V654" t="inlineStr">
        <is>
          <t>COD</t>
        </is>
      </c>
      <c r="W654" t="n">
        <v>3</v>
      </c>
      <c r="X654" t="inlineStr">
        <is>
          <t>Customs</t>
        </is>
      </c>
    </row>
    <row r="655">
      <c r="A655" t="inlineStr">
        <is>
          <t>ORD-2026-00654</t>
        </is>
      </c>
      <c r="B655" t="inlineStr">
        <is>
          <t>CUST-0129</t>
        </is>
      </c>
      <c r="C655" s="3" t="n">
        <v>46154</v>
      </c>
      <c r="D655" s="3" t="n">
        <v>46158</v>
      </c>
      <c r="E655" s="3" t="n"/>
      <c r="F655" t="inlineStr">
        <is>
          <t>Ahmedabad</t>
        </is>
      </c>
      <c r="G655" t="inlineStr">
        <is>
          <t>Kolkata</t>
        </is>
      </c>
      <c r="H655" t="inlineStr">
        <is>
          <t>Delhivery</t>
        </is>
      </c>
      <c r="I655" t="inlineStr">
        <is>
          <t>Truck</t>
        </is>
      </c>
      <c r="J655" t="inlineStr">
        <is>
          <t>High</t>
        </is>
      </c>
      <c r="K655" t="inlineStr">
        <is>
          <t>Exception</t>
        </is>
      </c>
      <c r="L655" t="n">
        <v>538.42</v>
      </c>
      <c r="M655" t="n">
        <v>1794</v>
      </c>
      <c r="N655" t="n">
        <v>23.66</v>
      </c>
      <c r="O655" t="n">
        <v>1630.2</v>
      </c>
      <c r="P655" t="n">
        <v>294.86</v>
      </c>
      <c r="Q655">
        <f>ROUND(L655*M655*N655/1000+O655+P655,2)</f>
        <v/>
      </c>
      <c r="R655" t="inlineStr">
        <is>
          <t>No</t>
        </is>
      </c>
      <c r="S655">
        <f>IF(OR(E655="",D655=""),"",MAX(0,E655-D655))</f>
        <v/>
      </c>
      <c r="T655" t="inlineStr">
        <is>
          <t>No</t>
        </is>
      </c>
      <c r="U655" t="n">
        <v>1</v>
      </c>
      <c r="V655" t="inlineStr">
        <is>
          <t>Failed</t>
        </is>
      </c>
      <c r="W655" t="n">
        <v>2</v>
      </c>
      <c r="X655" t="inlineStr">
        <is>
          <t>None</t>
        </is>
      </c>
    </row>
    <row r="656">
      <c r="A656" t="inlineStr">
        <is>
          <t>ORD-2026-00655</t>
        </is>
      </c>
      <c r="B656" t="inlineStr">
        <is>
          <t>CUST-0084</t>
        </is>
      </c>
      <c r="C656" s="3" t="n">
        <v>46223</v>
      </c>
      <c r="D656" s="3" t="n">
        <v>46230</v>
      </c>
      <c r="E656" s="3" t="n">
        <v>46231</v>
      </c>
      <c r="F656" t="inlineStr">
        <is>
          <t>Bengaluru</t>
        </is>
      </c>
      <c r="G656" t="inlineStr">
        <is>
          <t>Mumbai</t>
        </is>
      </c>
      <c r="H656" t="inlineStr">
        <is>
          <t>DTDC</t>
        </is>
      </c>
      <c r="I656" t="inlineStr">
        <is>
          <t>Refrigerated Truck</t>
        </is>
      </c>
      <c r="J656" t="inlineStr">
        <is>
          <t>Critical</t>
        </is>
      </c>
      <c r="K656" t="inlineStr">
        <is>
          <t>Delivered</t>
        </is>
      </c>
      <c r="L656" t="n">
        <v>1156.37</v>
      </c>
      <c r="M656" t="n">
        <v>2605</v>
      </c>
      <c r="N656" t="n">
        <v>26.14</v>
      </c>
      <c r="O656" t="n">
        <v>3407.94</v>
      </c>
      <c r="P656" t="n">
        <v>46.75</v>
      </c>
      <c r="Q656">
        <f>ROUND(L656*M656*N656/1000+O656+P656,2)</f>
        <v/>
      </c>
      <c r="R656" t="inlineStr">
        <is>
          <t>No</t>
        </is>
      </c>
      <c r="S656">
        <f>IF(OR(E656="",D656=""),"",MAX(0,E656-D656))</f>
        <v/>
      </c>
      <c r="T656" t="inlineStr">
        <is>
          <t>No</t>
        </is>
      </c>
      <c r="U656" t="n">
        <v>77</v>
      </c>
      <c r="V656" t="inlineStr">
        <is>
          <t>COD</t>
        </is>
      </c>
      <c r="W656" t="n">
        <v>5</v>
      </c>
      <c r="X656" t="inlineStr">
        <is>
          <t>Weather</t>
        </is>
      </c>
    </row>
    <row r="657">
      <c r="A657" t="inlineStr">
        <is>
          <t>ORD-2026-00656</t>
        </is>
      </c>
      <c r="B657" t="inlineStr">
        <is>
          <t>CUST-0179</t>
        </is>
      </c>
      <c r="C657" s="3" t="n">
        <v>46144</v>
      </c>
      <c r="D657" s="3" t="n">
        <v>46145</v>
      </c>
      <c r="E657" s="3" t="n">
        <v>46145</v>
      </c>
      <c r="F657" t="inlineStr">
        <is>
          <t>Delhi</t>
        </is>
      </c>
      <c r="G657" t="inlineStr">
        <is>
          <t>Chennai</t>
        </is>
      </c>
      <c r="H657" t="inlineStr">
        <is>
          <t>FedEx</t>
        </is>
      </c>
      <c r="I657" t="inlineStr">
        <is>
          <t>Container</t>
        </is>
      </c>
      <c r="J657" t="inlineStr">
        <is>
          <t>Low</t>
        </is>
      </c>
      <c r="K657" t="inlineStr">
        <is>
          <t>Delivered</t>
        </is>
      </c>
      <c r="L657" t="n">
        <v>2056.66</v>
      </c>
      <c r="M657" t="n">
        <v>626</v>
      </c>
      <c r="N657" t="n">
        <v>34.33</v>
      </c>
      <c r="O657" t="n">
        <v>3295.21</v>
      </c>
      <c r="P657" t="n">
        <v>331.74</v>
      </c>
      <c r="Q657">
        <f>ROUND(L657*M657*N657/1000+O657+P657,2)</f>
        <v/>
      </c>
      <c r="R657" t="inlineStr">
        <is>
          <t>Yes</t>
        </is>
      </c>
      <c r="S657">
        <f>IF(OR(E657="",D657=""),"",MAX(0,E657-D657))</f>
        <v/>
      </c>
      <c r="T657" t="inlineStr">
        <is>
          <t>Yes</t>
        </is>
      </c>
      <c r="U657" t="n">
        <v>63</v>
      </c>
      <c r="V657" t="inlineStr">
        <is>
          <t>COD</t>
        </is>
      </c>
      <c r="W657" t="n">
        <v>1</v>
      </c>
      <c r="X657" t="inlineStr">
        <is>
          <t>Address Error</t>
        </is>
      </c>
    </row>
    <row r="658">
      <c r="A658" t="inlineStr">
        <is>
          <t>ORD-2026-00657</t>
        </is>
      </c>
      <c r="B658" t="inlineStr">
        <is>
          <t>CUST-0091</t>
        </is>
      </c>
      <c r="C658" s="3" t="n">
        <v>46214</v>
      </c>
      <c r="D658" s="3" t="n">
        <v>46220</v>
      </c>
      <c r="E658" s="3" t="n">
        <v>46220</v>
      </c>
      <c r="F658" t="inlineStr">
        <is>
          <t>Kolkata</t>
        </is>
      </c>
      <c r="G658" t="inlineStr">
        <is>
          <t>Chennai</t>
        </is>
      </c>
      <c r="H658" t="inlineStr">
        <is>
          <t>Delhivery</t>
        </is>
      </c>
      <c r="I658" t="inlineStr">
        <is>
          <t>Van</t>
        </is>
      </c>
      <c r="J658" t="inlineStr">
        <is>
          <t>High</t>
        </is>
      </c>
      <c r="K658" t="inlineStr">
        <is>
          <t>Delivered</t>
        </is>
      </c>
      <c r="L658" t="n">
        <v>1129.02</v>
      </c>
      <c r="M658" t="n">
        <v>1919</v>
      </c>
      <c r="N658" t="n">
        <v>9.69</v>
      </c>
      <c r="O658" t="n">
        <v>1416.94</v>
      </c>
      <c r="P658" t="n">
        <v>266.77</v>
      </c>
      <c r="Q658">
        <f>ROUND(L658*M658*N658/1000+O658+P658,2)</f>
        <v/>
      </c>
      <c r="R658" t="inlineStr">
        <is>
          <t>Yes</t>
        </is>
      </c>
      <c r="S658">
        <f>IF(OR(E658="",D658=""),"",MAX(0,E658-D658))</f>
        <v/>
      </c>
      <c r="T658" t="inlineStr">
        <is>
          <t>No</t>
        </is>
      </c>
      <c r="U658" t="n">
        <v>31</v>
      </c>
      <c r="V658" t="inlineStr">
        <is>
          <t>Failed</t>
        </is>
      </c>
      <c r="W658" t="n">
        <v>5</v>
      </c>
      <c r="X658" t="inlineStr">
        <is>
          <t>Address Error</t>
        </is>
      </c>
    </row>
    <row r="659">
      <c r="A659" t="inlineStr">
        <is>
          <t>ORD-2026-00658</t>
        </is>
      </c>
      <c r="B659" t="inlineStr">
        <is>
          <t>CUST-0189</t>
        </is>
      </c>
      <c r="C659" s="3" t="n">
        <v>46119</v>
      </c>
      <c r="D659" s="3" t="n">
        <v>46121</v>
      </c>
      <c r="E659" s="3" t="n">
        <v>46121</v>
      </c>
      <c r="F659" t="inlineStr">
        <is>
          <t>Chennai</t>
        </is>
      </c>
      <c r="G659" t="inlineStr">
        <is>
          <t>Surat</t>
        </is>
      </c>
      <c r="H659" t="inlineStr">
        <is>
          <t>Delhivery</t>
        </is>
      </c>
      <c r="I659" t="inlineStr">
        <is>
          <t>Refrigerated Truck</t>
        </is>
      </c>
      <c r="J659" t="inlineStr">
        <is>
          <t>Normal</t>
        </is>
      </c>
      <c r="K659" t="inlineStr">
        <is>
          <t>Delivered</t>
        </is>
      </c>
      <c r="L659" t="n">
        <v>2480.33</v>
      </c>
      <c r="M659" t="n">
        <v>2342</v>
      </c>
      <c r="N659" t="n">
        <v>24.49</v>
      </c>
      <c r="O659" t="n">
        <v>11650.25</v>
      </c>
      <c r="P659" t="n">
        <v>1154.97</v>
      </c>
      <c r="Q659">
        <f>ROUND(L659*M659*N659/1000+O659+P659,2)</f>
        <v/>
      </c>
      <c r="R659" t="inlineStr">
        <is>
          <t>Yes</t>
        </is>
      </c>
      <c r="S659">
        <f>IF(OR(E659="",D659=""),"",MAX(0,E659-D659))</f>
        <v/>
      </c>
      <c r="T659" t="inlineStr">
        <is>
          <t>No</t>
        </is>
      </c>
      <c r="U659" t="n">
        <v>77</v>
      </c>
      <c r="V659" t="inlineStr">
        <is>
          <t>COD</t>
        </is>
      </c>
      <c r="W659" t="n">
        <v>3</v>
      </c>
      <c r="X659" t="inlineStr">
        <is>
          <t>Customer Unavailable</t>
        </is>
      </c>
    </row>
    <row r="660">
      <c r="A660" t="inlineStr">
        <is>
          <t>ORD-2026-00659</t>
        </is>
      </c>
      <c r="B660" t="inlineStr">
        <is>
          <t>CUST-0220</t>
        </is>
      </c>
      <c r="C660" s="3" t="n">
        <v>46115</v>
      </c>
      <c r="D660" s="3" t="n">
        <v>46117</v>
      </c>
      <c r="E660" s="3" t="n">
        <v>46118</v>
      </c>
      <c r="F660" t="inlineStr">
        <is>
          <t>Chennai</t>
        </is>
      </c>
      <c r="G660" t="inlineStr">
        <is>
          <t>Jaipur</t>
        </is>
      </c>
      <c r="H660" t="inlineStr">
        <is>
          <t>Aramex</t>
        </is>
      </c>
      <c r="I660" t="inlineStr">
        <is>
          <t>Container</t>
        </is>
      </c>
      <c r="J660" t="inlineStr">
        <is>
          <t>High</t>
        </is>
      </c>
      <c r="K660" t="inlineStr">
        <is>
          <t>Delivered</t>
        </is>
      </c>
      <c r="L660" t="n">
        <v>1582.99</v>
      </c>
      <c r="M660" t="n">
        <v>2610</v>
      </c>
      <c r="N660" t="n">
        <v>26.11</v>
      </c>
      <c r="O660" t="n">
        <v>6703.17</v>
      </c>
      <c r="P660" t="n">
        <v>600.42</v>
      </c>
      <c r="Q660">
        <f>ROUND(L660*M660*N660/1000+O660+P660,2)</f>
        <v/>
      </c>
      <c r="R660" t="inlineStr">
        <is>
          <t>No</t>
        </is>
      </c>
      <c r="S660">
        <f>IF(OR(E660="",D660=""),"",MAX(0,E660-D660))</f>
        <v/>
      </c>
      <c r="T660" t="inlineStr">
        <is>
          <t>No</t>
        </is>
      </c>
      <c r="U660" t="n">
        <v>21</v>
      </c>
      <c r="V660" t="inlineStr">
        <is>
          <t>Pending</t>
        </is>
      </c>
      <c r="W660" t="n">
        <v>4</v>
      </c>
      <c r="X660" t="inlineStr">
        <is>
          <t>Vehicle Breakdown</t>
        </is>
      </c>
    </row>
    <row r="661">
      <c r="A661" t="inlineStr">
        <is>
          <t>ORD-2026-00660</t>
        </is>
      </c>
      <c r="B661" t="inlineStr">
        <is>
          <t>CUST-0106</t>
        </is>
      </c>
      <c r="C661" s="3" t="n">
        <v>46023</v>
      </c>
      <c r="D661" s="3" t="n">
        <v>46029</v>
      </c>
      <c r="E661" s="3" t="n">
        <v>46031</v>
      </c>
      <c r="F661" t="inlineStr">
        <is>
          <t>Bengaluru</t>
        </is>
      </c>
      <c r="G661" t="inlineStr">
        <is>
          <t>Ahmedabad</t>
        </is>
      </c>
      <c r="H661" t="inlineStr">
        <is>
          <t>DTDC</t>
        </is>
      </c>
      <c r="I661" t="inlineStr">
        <is>
          <t>Truck</t>
        </is>
      </c>
      <c r="J661" t="inlineStr">
        <is>
          <t>Normal</t>
        </is>
      </c>
      <c r="K661" t="inlineStr">
        <is>
          <t>Delivered</t>
        </is>
      </c>
      <c r="L661" t="n">
        <v>1708.54</v>
      </c>
      <c r="M661" t="n">
        <v>407</v>
      </c>
      <c r="N661" t="n">
        <v>29.85</v>
      </c>
      <c r="O661" t="n">
        <v>1436.1</v>
      </c>
      <c r="P661" t="n">
        <v>1461.89</v>
      </c>
      <c r="Q661">
        <f>ROUND(L661*M661*N661/1000+O661+P661,2)</f>
        <v/>
      </c>
      <c r="R661" t="inlineStr">
        <is>
          <t>No</t>
        </is>
      </c>
      <c r="S661">
        <f>IF(OR(E661="",D661=""),"",MAX(0,E661-D661))</f>
        <v/>
      </c>
      <c r="T661" t="inlineStr">
        <is>
          <t>Yes</t>
        </is>
      </c>
      <c r="U661" t="n">
        <v>77</v>
      </c>
      <c r="V661" t="inlineStr">
        <is>
          <t>Failed</t>
        </is>
      </c>
      <c r="W661" t="n">
        <v>1</v>
      </c>
      <c r="X661" t="inlineStr">
        <is>
          <t>Vehicle Breakdown</t>
        </is>
      </c>
    </row>
    <row r="662">
      <c r="A662" t="inlineStr">
        <is>
          <t>ORD-2026-00661</t>
        </is>
      </c>
      <c r="B662" t="inlineStr">
        <is>
          <t>CUST-0100</t>
        </is>
      </c>
      <c r="C662" s="3" t="n">
        <v>46179</v>
      </c>
      <c r="D662" s="3" t="n">
        <v>46183</v>
      </c>
      <c r="E662" s="3" t="n">
        <v>46183</v>
      </c>
      <c r="F662" t="inlineStr">
        <is>
          <t>Surat</t>
        </is>
      </c>
      <c r="G662" t="inlineStr">
        <is>
          <t>Surat</t>
        </is>
      </c>
      <c r="H662" t="inlineStr">
        <is>
          <t>Aramex</t>
        </is>
      </c>
      <c r="I662" t="inlineStr">
        <is>
          <t>Truck</t>
        </is>
      </c>
      <c r="J662" t="inlineStr">
        <is>
          <t>Normal</t>
        </is>
      </c>
      <c r="K662" t="inlineStr">
        <is>
          <t>Delivered</t>
        </is>
      </c>
      <c r="L662" t="n">
        <v>1711.07</v>
      </c>
      <c r="M662" t="n">
        <v>1521</v>
      </c>
      <c r="N662" t="n">
        <v>9.300000000000001</v>
      </c>
      <c r="O662" t="n">
        <v>1599.39</v>
      </c>
      <c r="P662" t="n">
        <v>1189.02</v>
      </c>
      <c r="Q662">
        <f>ROUND(L662*M662*N662/1000+O662+P662,2)</f>
        <v/>
      </c>
      <c r="R662" t="inlineStr">
        <is>
          <t>Yes</t>
        </is>
      </c>
      <c r="S662">
        <f>IF(OR(E662="",D662=""),"",MAX(0,E662-D662))</f>
        <v/>
      </c>
      <c r="T662" t="inlineStr">
        <is>
          <t>No</t>
        </is>
      </c>
      <c r="U662" t="n">
        <v>48</v>
      </c>
      <c r="V662" t="inlineStr">
        <is>
          <t>Pending</t>
        </is>
      </c>
      <c r="W662" t="n">
        <v>2</v>
      </c>
      <c r="X662" t="inlineStr">
        <is>
          <t>Weather</t>
        </is>
      </c>
    </row>
    <row r="663">
      <c r="A663" t="inlineStr">
        <is>
          <t>ORD-2026-00662</t>
        </is>
      </c>
      <c r="B663" t="inlineStr">
        <is>
          <t>CUST-0114</t>
        </is>
      </c>
      <c r="C663" s="3" t="n">
        <v>46205</v>
      </c>
      <c r="D663" s="3" t="n">
        <v>46209</v>
      </c>
      <c r="E663" s="3" t="n">
        <v>46209</v>
      </c>
      <c r="F663" t="inlineStr">
        <is>
          <t>Bengaluru</t>
        </is>
      </c>
      <c r="G663" t="inlineStr">
        <is>
          <t>Delhi</t>
        </is>
      </c>
      <c r="H663" t="inlineStr">
        <is>
          <t>Delhivery</t>
        </is>
      </c>
      <c r="I663" t="inlineStr">
        <is>
          <t>Bike</t>
        </is>
      </c>
      <c r="J663" t="inlineStr">
        <is>
          <t>Low</t>
        </is>
      </c>
      <c r="K663" t="inlineStr">
        <is>
          <t>Delivered</t>
        </is>
      </c>
      <c r="L663" t="n">
        <v>2236.17</v>
      </c>
      <c r="M663" t="n">
        <v>852</v>
      </c>
      <c r="N663" t="n">
        <v>40.92</v>
      </c>
      <c r="O663" t="n">
        <v>4486.81</v>
      </c>
      <c r="P663" t="n">
        <v>1031.83</v>
      </c>
      <c r="Q663">
        <f>ROUND(L663*M663*N663/1000+O663+P663,2)</f>
        <v/>
      </c>
      <c r="R663" t="inlineStr">
        <is>
          <t>Yes</t>
        </is>
      </c>
      <c r="S663">
        <f>IF(OR(E663="",D663=""),"",MAX(0,E663-D663))</f>
        <v/>
      </c>
      <c r="T663" t="inlineStr">
        <is>
          <t>No</t>
        </is>
      </c>
      <c r="U663" t="n">
        <v>21</v>
      </c>
      <c r="V663" t="inlineStr">
        <is>
          <t>Pending</t>
        </is>
      </c>
      <c r="W663" t="n">
        <v>4</v>
      </c>
      <c r="X663" t="inlineStr">
        <is>
          <t>Damaged Package</t>
        </is>
      </c>
    </row>
    <row r="664">
      <c r="A664" t="inlineStr">
        <is>
          <t>ORD-2026-00663</t>
        </is>
      </c>
      <c r="B664" t="inlineStr">
        <is>
          <t>CUST-0107</t>
        </is>
      </c>
      <c r="C664" s="3" t="n">
        <v>46040</v>
      </c>
      <c r="D664" s="3" t="n">
        <v>46041</v>
      </c>
      <c r="E664" s="3" t="n">
        <v>46043</v>
      </c>
      <c r="F664" t="inlineStr">
        <is>
          <t>Pune</t>
        </is>
      </c>
      <c r="G664" t="inlineStr">
        <is>
          <t>Surat</t>
        </is>
      </c>
      <c r="H664" t="inlineStr">
        <is>
          <t>BlueDart</t>
        </is>
      </c>
      <c r="I664" t="inlineStr">
        <is>
          <t>Bike</t>
        </is>
      </c>
      <c r="J664" t="inlineStr">
        <is>
          <t>Low</t>
        </is>
      </c>
      <c r="K664" t="inlineStr">
        <is>
          <t>Delivered</t>
        </is>
      </c>
      <c r="L664" t="n">
        <v>1016.16</v>
      </c>
      <c r="M664" t="n">
        <v>2133</v>
      </c>
      <c r="N664" t="n">
        <v>64.75</v>
      </c>
      <c r="O664" t="n">
        <v>11470.3</v>
      </c>
      <c r="P664" t="n">
        <v>124.14</v>
      </c>
      <c r="Q664">
        <f>ROUND(L664*M664*N664/1000+O664+P664,2)</f>
        <v/>
      </c>
      <c r="R664" t="inlineStr">
        <is>
          <t>No</t>
        </is>
      </c>
      <c r="S664">
        <f>IF(OR(E664="",D664=""),"",MAX(0,E664-D664))</f>
        <v/>
      </c>
      <c r="T664" t="inlineStr">
        <is>
          <t>No</t>
        </is>
      </c>
      <c r="U664" t="n">
        <v>62</v>
      </c>
      <c r="V664" t="inlineStr">
        <is>
          <t>Paid</t>
        </is>
      </c>
      <c r="W664" t="n">
        <v>3</v>
      </c>
      <c r="X664" t="inlineStr">
        <is>
          <t>Customer Unavailable</t>
        </is>
      </c>
    </row>
    <row r="665">
      <c r="A665" t="inlineStr">
        <is>
          <t>ORD-2026-00664</t>
        </is>
      </c>
      <c r="B665" t="inlineStr">
        <is>
          <t>CUST-0217</t>
        </is>
      </c>
      <c r="C665" s="3" t="n">
        <v>46124</v>
      </c>
      <c r="D665" s="3" t="n">
        <v>46125</v>
      </c>
      <c r="E665" s="3" t="n">
        <v>46125</v>
      </c>
      <c r="F665" t="inlineStr">
        <is>
          <t>Pune</t>
        </is>
      </c>
      <c r="G665" t="inlineStr">
        <is>
          <t>Kolkata</t>
        </is>
      </c>
      <c r="H665" t="inlineStr">
        <is>
          <t>Aramex</t>
        </is>
      </c>
      <c r="I665" t="inlineStr">
        <is>
          <t>Van</t>
        </is>
      </c>
      <c r="J665" t="inlineStr">
        <is>
          <t>Normal</t>
        </is>
      </c>
      <c r="K665" t="inlineStr">
        <is>
          <t>Delivered</t>
        </is>
      </c>
      <c r="L665" t="n">
        <v>1279.14</v>
      </c>
      <c r="M665" t="n">
        <v>2665</v>
      </c>
      <c r="N665" t="n">
        <v>33.08</v>
      </c>
      <c r="O665" t="n">
        <v>8710.709999999999</v>
      </c>
      <c r="P665" t="n">
        <v>173.36</v>
      </c>
      <c r="Q665">
        <f>ROUND(L665*M665*N665/1000+O665+P665,2)</f>
        <v/>
      </c>
      <c r="R665" t="inlineStr">
        <is>
          <t>Yes</t>
        </is>
      </c>
      <c r="S665">
        <f>IF(OR(E665="",D665=""),"",MAX(0,E665-D665))</f>
        <v/>
      </c>
      <c r="T665" t="inlineStr">
        <is>
          <t>No</t>
        </is>
      </c>
      <c r="U665" t="n">
        <v>53</v>
      </c>
      <c r="V665" t="inlineStr">
        <is>
          <t>COD</t>
        </is>
      </c>
      <c r="W665" t="n">
        <v>2</v>
      </c>
      <c r="X665" t="inlineStr">
        <is>
          <t>Address Error</t>
        </is>
      </c>
    </row>
    <row r="666">
      <c r="A666" t="inlineStr">
        <is>
          <t>ORD-2026-00665</t>
        </is>
      </c>
      <c r="B666" t="inlineStr">
        <is>
          <t>CUST-0194</t>
        </is>
      </c>
      <c r="C666" s="3" t="n">
        <v>46226</v>
      </c>
      <c r="D666" s="3" t="n">
        <v>46234</v>
      </c>
      <c r="E666" s="3" t="n">
        <v>46234</v>
      </c>
      <c r="F666" t="inlineStr">
        <is>
          <t>Pune</t>
        </is>
      </c>
      <c r="G666" t="inlineStr">
        <is>
          <t>Hyderabad</t>
        </is>
      </c>
      <c r="H666" t="inlineStr">
        <is>
          <t>FedEx</t>
        </is>
      </c>
      <c r="I666" t="inlineStr">
        <is>
          <t>Container</t>
        </is>
      </c>
      <c r="J666" t="inlineStr">
        <is>
          <t>High</t>
        </is>
      </c>
      <c r="K666" t="inlineStr">
        <is>
          <t>Delivered</t>
        </is>
      </c>
      <c r="L666" t="n">
        <v>1605.27</v>
      </c>
      <c r="M666" t="n">
        <v>308</v>
      </c>
      <c r="N666" t="n">
        <v>34.12</v>
      </c>
      <c r="O666" t="n">
        <v>1223.81</v>
      </c>
      <c r="P666" t="n">
        <v>1133.7</v>
      </c>
      <c r="Q666">
        <f>ROUND(L666*M666*N666/1000+O666+P666,2)</f>
        <v/>
      </c>
      <c r="R666" t="inlineStr">
        <is>
          <t>Yes</t>
        </is>
      </c>
      <c r="S666">
        <f>IF(OR(E666="",D666=""),"",MAX(0,E666-D666))</f>
        <v/>
      </c>
      <c r="T666" t="inlineStr">
        <is>
          <t>No</t>
        </is>
      </c>
      <c r="U666" t="n">
        <v>34</v>
      </c>
      <c r="V666" t="inlineStr">
        <is>
          <t>COD</t>
        </is>
      </c>
      <c r="W666" t="n">
        <v>5</v>
      </c>
      <c r="X666" t="inlineStr">
        <is>
          <t>None</t>
        </is>
      </c>
    </row>
    <row r="667">
      <c r="A667" t="inlineStr">
        <is>
          <t>ORD-2026-00666</t>
        </is>
      </c>
      <c r="B667" t="inlineStr">
        <is>
          <t>CUST-0184</t>
        </is>
      </c>
      <c r="C667" s="3" t="n">
        <v>46217</v>
      </c>
      <c r="D667" s="3" t="n">
        <v>46220</v>
      </c>
      <c r="E667" s="3" t="n">
        <v>46220</v>
      </c>
      <c r="F667" t="inlineStr">
        <is>
          <t>Delhi</t>
        </is>
      </c>
      <c r="G667" t="inlineStr">
        <is>
          <t>Kolkata</t>
        </is>
      </c>
      <c r="H667" t="inlineStr">
        <is>
          <t>Maersk</t>
        </is>
      </c>
      <c r="I667" t="inlineStr">
        <is>
          <t>Refrigerated Truck</t>
        </is>
      </c>
      <c r="J667" t="inlineStr">
        <is>
          <t>Critical</t>
        </is>
      </c>
      <c r="K667" t="inlineStr">
        <is>
          <t>Delivered</t>
        </is>
      </c>
      <c r="L667" t="n">
        <v>552.9400000000001</v>
      </c>
      <c r="M667" t="n">
        <v>1524</v>
      </c>
      <c r="N667" t="n">
        <v>40.12</v>
      </c>
      <c r="O667" t="n">
        <v>2462.2</v>
      </c>
      <c r="P667" t="n">
        <v>473.86</v>
      </c>
      <c r="Q667">
        <f>ROUND(L667*M667*N667/1000+O667+P667,2)</f>
        <v/>
      </c>
      <c r="R667" t="inlineStr">
        <is>
          <t>Yes</t>
        </is>
      </c>
      <c r="S667">
        <f>IF(OR(E667="",D667=""),"",MAX(0,E667-D667))</f>
        <v/>
      </c>
      <c r="T667" t="inlineStr">
        <is>
          <t>No</t>
        </is>
      </c>
      <c r="U667" t="n">
        <v>38</v>
      </c>
      <c r="V667" t="inlineStr">
        <is>
          <t>Pending</t>
        </is>
      </c>
      <c r="W667" t="n">
        <v>2</v>
      </c>
      <c r="X667" t="inlineStr">
        <is>
          <t>Address Error</t>
        </is>
      </c>
    </row>
    <row r="668">
      <c r="A668" t="inlineStr">
        <is>
          <t>ORD-2026-00667</t>
        </is>
      </c>
      <c r="B668" t="inlineStr">
        <is>
          <t>CUST-0094</t>
        </is>
      </c>
      <c r="C668" s="3" t="n">
        <v>46178</v>
      </c>
      <c r="D668" s="3" t="n">
        <v>46183</v>
      </c>
      <c r="E668" s="3" t="n">
        <v>46186</v>
      </c>
      <c r="F668" t="inlineStr">
        <is>
          <t>Surat</t>
        </is>
      </c>
      <c r="G668" t="inlineStr">
        <is>
          <t>Surat</t>
        </is>
      </c>
      <c r="H668" t="inlineStr">
        <is>
          <t>Delhivery</t>
        </is>
      </c>
      <c r="I668" t="inlineStr">
        <is>
          <t>Container</t>
        </is>
      </c>
      <c r="J668" t="inlineStr">
        <is>
          <t>Normal</t>
        </is>
      </c>
      <c r="K668" t="inlineStr">
        <is>
          <t>Delivered</t>
        </is>
      </c>
      <c r="L668" t="n">
        <v>570.1799999999999</v>
      </c>
      <c r="M668" t="n">
        <v>871</v>
      </c>
      <c r="N668" t="n">
        <v>41.24</v>
      </c>
      <c r="O668" t="n">
        <v>796.74</v>
      </c>
      <c r="P668" t="n">
        <v>37.86</v>
      </c>
      <c r="Q668">
        <f>ROUND(L668*M668*N668/1000+O668+P668,2)</f>
        <v/>
      </c>
      <c r="R668" t="inlineStr">
        <is>
          <t>No</t>
        </is>
      </c>
      <c r="S668">
        <f>IF(OR(E668="",D668=""),"",MAX(0,E668-D668))</f>
        <v/>
      </c>
      <c r="T668" t="inlineStr">
        <is>
          <t>No</t>
        </is>
      </c>
      <c r="U668" t="n">
        <v>20</v>
      </c>
      <c r="V668" t="inlineStr">
        <is>
          <t>COD</t>
        </is>
      </c>
      <c r="W668" t="n">
        <v>5</v>
      </c>
      <c r="X668" t="inlineStr">
        <is>
          <t>Vehicle Breakdown</t>
        </is>
      </c>
    </row>
    <row r="669">
      <c r="A669" t="inlineStr">
        <is>
          <t>ORD-2026-00668</t>
        </is>
      </c>
      <c r="B669" t="inlineStr">
        <is>
          <t>CUST-0088</t>
        </is>
      </c>
      <c r="C669" s="3" t="n">
        <v>46119</v>
      </c>
      <c r="D669" s="3" t="n">
        <v>46127</v>
      </c>
      <c r="E669" s="3" t="n">
        <v>46128</v>
      </c>
      <c r="F669" t="inlineStr">
        <is>
          <t>Bengaluru</t>
        </is>
      </c>
      <c r="G669" t="inlineStr">
        <is>
          <t>Pune</t>
        </is>
      </c>
      <c r="H669" t="inlineStr">
        <is>
          <t>DHL</t>
        </is>
      </c>
      <c r="I669" t="inlineStr">
        <is>
          <t>Truck</t>
        </is>
      </c>
      <c r="J669" t="inlineStr">
        <is>
          <t>Normal</t>
        </is>
      </c>
      <c r="K669" t="inlineStr">
        <is>
          <t>Delivered</t>
        </is>
      </c>
      <c r="L669" t="n">
        <v>1205.39</v>
      </c>
      <c r="M669" t="n">
        <v>1987</v>
      </c>
      <c r="N669" t="n">
        <v>59.14</v>
      </c>
      <c r="O669" t="n">
        <v>4370.36</v>
      </c>
      <c r="P669" t="n">
        <v>1421.48</v>
      </c>
      <c r="Q669">
        <f>ROUND(L669*M669*N669/1000+O669+P669,2)</f>
        <v/>
      </c>
      <c r="R669" t="inlineStr">
        <is>
          <t>No</t>
        </is>
      </c>
      <c r="S669">
        <f>IF(OR(E669="",D669=""),"",MAX(0,E669-D669))</f>
        <v/>
      </c>
      <c r="T669" t="inlineStr">
        <is>
          <t>No</t>
        </is>
      </c>
      <c r="U669" t="n">
        <v>78</v>
      </c>
      <c r="V669" t="inlineStr">
        <is>
          <t>Paid</t>
        </is>
      </c>
      <c r="W669" t="n">
        <v>2</v>
      </c>
      <c r="X669" t="inlineStr">
        <is>
          <t>Vehicle Breakdown</t>
        </is>
      </c>
    </row>
    <row r="670">
      <c r="A670" t="inlineStr">
        <is>
          <t>ORD-2026-00669</t>
        </is>
      </c>
      <c r="B670" t="inlineStr">
        <is>
          <t>CUST-0009</t>
        </is>
      </c>
      <c r="C670" s="3" t="n">
        <v>46150</v>
      </c>
      <c r="D670" s="3" t="n">
        <v>46158</v>
      </c>
      <c r="E670" s="3" t="n">
        <v>46159</v>
      </c>
      <c r="F670" t="inlineStr">
        <is>
          <t>Chennai</t>
        </is>
      </c>
      <c r="G670" t="inlineStr">
        <is>
          <t>Mumbai</t>
        </is>
      </c>
      <c r="H670" t="inlineStr">
        <is>
          <t>FedEx</t>
        </is>
      </c>
      <c r="I670" t="inlineStr">
        <is>
          <t>Bike</t>
        </is>
      </c>
      <c r="J670" t="inlineStr">
        <is>
          <t>Low</t>
        </is>
      </c>
      <c r="K670" t="inlineStr">
        <is>
          <t>Delivered</t>
        </is>
      </c>
      <c r="L670" t="n">
        <v>31</v>
      </c>
      <c r="M670" t="n">
        <v>2151</v>
      </c>
      <c r="N670" t="n">
        <v>59.19</v>
      </c>
      <c r="O670" t="n">
        <v>293.97</v>
      </c>
      <c r="P670" t="n">
        <v>558.0700000000001</v>
      </c>
      <c r="Q670">
        <f>ROUND(L670*M670*N670/1000+O670+P670,2)</f>
        <v/>
      </c>
      <c r="R670" t="inlineStr">
        <is>
          <t>No</t>
        </is>
      </c>
      <c r="S670">
        <f>IF(OR(E670="",D670=""),"",MAX(0,E670-D670))</f>
        <v/>
      </c>
      <c r="T670" t="inlineStr">
        <is>
          <t>No</t>
        </is>
      </c>
      <c r="U670" t="n">
        <v>71</v>
      </c>
      <c r="V670" t="inlineStr">
        <is>
          <t>Paid</t>
        </is>
      </c>
      <c r="W670" t="n">
        <v>1</v>
      </c>
      <c r="X670" t="inlineStr">
        <is>
          <t>Weather</t>
        </is>
      </c>
    </row>
    <row r="671">
      <c r="A671" t="inlineStr">
        <is>
          <t>ORD-2026-00670</t>
        </is>
      </c>
      <c r="B671" t="inlineStr">
        <is>
          <t>CUST-0046</t>
        </is>
      </c>
      <c r="C671" s="3" t="n">
        <v>46168</v>
      </c>
      <c r="D671" s="3" t="n">
        <v>46172</v>
      </c>
      <c r="E671" s="3" t="n">
        <v>46172</v>
      </c>
      <c r="F671" t="inlineStr">
        <is>
          <t>Ahmedabad</t>
        </is>
      </c>
      <c r="G671" t="inlineStr">
        <is>
          <t>Kolkata</t>
        </is>
      </c>
      <c r="H671" t="inlineStr">
        <is>
          <t>FedEx</t>
        </is>
      </c>
      <c r="I671" t="inlineStr">
        <is>
          <t>Bike</t>
        </is>
      </c>
      <c r="J671" t="inlineStr">
        <is>
          <t>High</t>
        </is>
      </c>
      <c r="K671" t="inlineStr">
        <is>
          <t>Delivered</t>
        </is>
      </c>
      <c r="L671" t="n">
        <v>457.12</v>
      </c>
      <c r="M671" t="n">
        <v>2670</v>
      </c>
      <c r="N671" t="n">
        <v>56.88</v>
      </c>
      <c r="O671" t="n">
        <v>3033.8</v>
      </c>
      <c r="P671" t="n">
        <v>1081.72</v>
      </c>
      <c r="Q671">
        <f>ROUND(L671*M671*N671/1000+O671+P671,2)</f>
        <v/>
      </c>
      <c r="R671" t="inlineStr">
        <is>
          <t>Yes</t>
        </is>
      </c>
      <c r="S671">
        <f>IF(OR(E671="",D671=""),"",MAX(0,E671-D671))</f>
        <v/>
      </c>
      <c r="T671" t="inlineStr">
        <is>
          <t>Yes</t>
        </is>
      </c>
      <c r="U671" t="n">
        <v>25</v>
      </c>
      <c r="V671" t="inlineStr">
        <is>
          <t>Paid</t>
        </is>
      </c>
      <c r="W671" t="n">
        <v>2</v>
      </c>
      <c r="X671" t="inlineStr">
        <is>
          <t>Customs</t>
        </is>
      </c>
    </row>
    <row r="672">
      <c r="A672" t="inlineStr">
        <is>
          <t>ORD-2026-00671</t>
        </is>
      </c>
      <c r="B672" t="inlineStr">
        <is>
          <t>CUST-0082</t>
        </is>
      </c>
      <c r="C672" s="3" t="n">
        <v>46100</v>
      </c>
      <c r="D672" s="3" t="n">
        <v>46101</v>
      </c>
      <c r="E672" s="3" t="n">
        <v>46101</v>
      </c>
      <c r="F672" t="inlineStr">
        <is>
          <t>Mumbai</t>
        </is>
      </c>
      <c r="G672" t="inlineStr">
        <is>
          <t>Bengaluru</t>
        </is>
      </c>
      <c r="H672" t="inlineStr">
        <is>
          <t>Delhivery</t>
        </is>
      </c>
      <c r="I672" t="inlineStr">
        <is>
          <t>Van</t>
        </is>
      </c>
      <c r="J672" t="inlineStr">
        <is>
          <t>Critical</t>
        </is>
      </c>
      <c r="K672" t="inlineStr">
        <is>
          <t>Delivered</t>
        </is>
      </c>
      <c r="L672" t="n">
        <v>1904.32</v>
      </c>
      <c r="M672" t="n">
        <v>1959</v>
      </c>
      <c r="N672" t="n">
        <v>34.46</v>
      </c>
      <c r="O672" t="n">
        <v>7998.19</v>
      </c>
      <c r="P672" t="n">
        <v>1176.49</v>
      </c>
      <c r="Q672">
        <f>ROUND(L672*M672*N672/1000+O672+P672,2)</f>
        <v/>
      </c>
      <c r="R672" t="inlineStr">
        <is>
          <t>Yes</t>
        </is>
      </c>
      <c r="S672">
        <f>IF(OR(E672="",D672=""),"",MAX(0,E672-D672))</f>
        <v/>
      </c>
      <c r="T672" t="inlineStr">
        <is>
          <t>Yes</t>
        </is>
      </c>
      <c r="U672" t="n">
        <v>61</v>
      </c>
      <c r="V672" t="inlineStr">
        <is>
          <t>Pending</t>
        </is>
      </c>
      <c r="W672" t="n">
        <v>1</v>
      </c>
      <c r="X672" t="inlineStr">
        <is>
          <t>Customs</t>
        </is>
      </c>
    </row>
    <row r="673">
      <c r="A673" t="inlineStr">
        <is>
          <t>ORD-2026-00672</t>
        </is>
      </c>
      <c r="B673" t="inlineStr">
        <is>
          <t>CUST-0200</t>
        </is>
      </c>
      <c r="C673" s="3" t="n">
        <v>46173</v>
      </c>
      <c r="D673" s="3" t="n">
        <v>46177</v>
      </c>
      <c r="E673" s="3" t="n">
        <v>46178</v>
      </c>
      <c r="F673" t="inlineStr">
        <is>
          <t>Bengaluru</t>
        </is>
      </c>
      <c r="G673" t="inlineStr">
        <is>
          <t>Kolkata</t>
        </is>
      </c>
      <c r="H673" t="inlineStr">
        <is>
          <t>Aramex</t>
        </is>
      </c>
      <c r="I673" t="inlineStr">
        <is>
          <t>Bike</t>
        </is>
      </c>
      <c r="J673" t="inlineStr">
        <is>
          <t>Critical</t>
        </is>
      </c>
      <c r="K673" t="inlineStr">
        <is>
          <t>Delivered</t>
        </is>
      </c>
      <c r="L673" t="n">
        <v>24.5</v>
      </c>
      <c r="M673" t="n">
        <v>1765</v>
      </c>
      <c r="N673" t="n">
        <v>57.08</v>
      </c>
      <c r="O673" t="n">
        <v>90.56</v>
      </c>
      <c r="P673" t="n">
        <v>1332.05</v>
      </c>
      <c r="Q673">
        <f>ROUND(L673*M673*N673/1000+O673+P673,2)</f>
        <v/>
      </c>
      <c r="R673" t="inlineStr">
        <is>
          <t>No</t>
        </is>
      </c>
      <c r="S673">
        <f>IF(OR(E673="",D673=""),"",MAX(0,E673-D673))</f>
        <v/>
      </c>
      <c r="T673" t="inlineStr">
        <is>
          <t>Yes</t>
        </is>
      </c>
      <c r="U673" t="n">
        <v>33</v>
      </c>
      <c r="V673" t="inlineStr">
        <is>
          <t>Failed</t>
        </is>
      </c>
      <c r="W673" t="n">
        <v>5</v>
      </c>
      <c r="X673" t="inlineStr">
        <is>
          <t>Vehicle Breakdown</t>
        </is>
      </c>
    </row>
    <row r="674">
      <c r="A674" t="inlineStr">
        <is>
          <t>ORD-2026-00673</t>
        </is>
      </c>
      <c r="B674" t="inlineStr">
        <is>
          <t>CUST-0071</t>
        </is>
      </c>
      <c r="C674" s="3" t="n">
        <v>46149</v>
      </c>
      <c r="D674" s="3" t="n">
        <v>46152</v>
      </c>
      <c r="E674" s="3" t="n">
        <v>46152</v>
      </c>
      <c r="F674" t="inlineStr">
        <is>
          <t>Surat</t>
        </is>
      </c>
      <c r="G674" t="inlineStr">
        <is>
          <t>Surat</t>
        </is>
      </c>
      <c r="H674" t="inlineStr">
        <is>
          <t>FedEx</t>
        </is>
      </c>
      <c r="I674" t="inlineStr">
        <is>
          <t>Container</t>
        </is>
      </c>
      <c r="J674" t="inlineStr">
        <is>
          <t>Low</t>
        </is>
      </c>
      <c r="K674" t="inlineStr">
        <is>
          <t>Delivered</t>
        </is>
      </c>
      <c r="L674" t="n">
        <v>709.75</v>
      </c>
      <c r="M674" t="n">
        <v>2648</v>
      </c>
      <c r="N674" t="n">
        <v>25.08</v>
      </c>
      <c r="O674" t="n">
        <v>3866.82</v>
      </c>
      <c r="P674" t="n">
        <v>388.55</v>
      </c>
      <c r="Q674">
        <f>ROUND(L674*M674*N674/1000+O674+P674,2)</f>
        <v/>
      </c>
      <c r="R674" t="inlineStr">
        <is>
          <t>Yes</t>
        </is>
      </c>
      <c r="S674">
        <f>IF(OR(E674="",D674=""),"",MAX(0,E674-D674))</f>
        <v/>
      </c>
      <c r="T674" t="inlineStr">
        <is>
          <t>Yes</t>
        </is>
      </c>
      <c r="U674" t="n">
        <v>63</v>
      </c>
      <c r="V674" t="inlineStr">
        <is>
          <t>Paid</t>
        </is>
      </c>
      <c r="W674" t="n">
        <v>3</v>
      </c>
      <c r="X674" t="inlineStr">
        <is>
          <t>Customs</t>
        </is>
      </c>
    </row>
    <row r="675">
      <c r="A675" t="inlineStr">
        <is>
          <t>ORD-2026-00674</t>
        </is>
      </c>
      <c r="B675" t="inlineStr">
        <is>
          <t>CUST-0138</t>
        </is>
      </c>
      <c r="C675" s="3" t="n">
        <v>46143</v>
      </c>
      <c r="D675" s="3" t="n">
        <v>46151</v>
      </c>
      <c r="E675" s="3" t="n"/>
      <c r="F675" t="inlineStr">
        <is>
          <t>Delhi</t>
        </is>
      </c>
      <c r="G675" t="inlineStr">
        <is>
          <t>Bengaluru</t>
        </is>
      </c>
      <c r="H675" t="inlineStr">
        <is>
          <t>Aramex</t>
        </is>
      </c>
      <c r="I675" t="inlineStr">
        <is>
          <t>Van</t>
        </is>
      </c>
      <c r="J675" t="inlineStr">
        <is>
          <t>Normal</t>
        </is>
      </c>
      <c r="K675" t="inlineStr">
        <is>
          <t>Exception</t>
        </is>
      </c>
      <c r="L675" t="n">
        <v>1682.6</v>
      </c>
      <c r="M675" t="n">
        <v>392</v>
      </c>
      <c r="N675" t="n">
        <v>60.74</v>
      </c>
      <c r="O675" t="n">
        <v>2267.23</v>
      </c>
      <c r="P675" t="n">
        <v>964.0700000000001</v>
      </c>
      <c r="Q675">
        <f>ROUND(L675*M675*N675/1000+O675+P675,2)</f>
        <v/>
      </c>
      <c r="R675" t="inlineStr">
        <is>
          <t>No</t>
        </is>
      </c>
      <c r="S675">
        <f>IF(OR(E675="",D675=""),"",MAX(0,E675-D675))</f>
        <v/>
      </c>
      <c r="T675" t="inlineStr">
        <is>
          <t>Yes</t>
        </is>
      </c>
      <c r="U675" t="n">
        <v>40</v>
      </c>
      <c r="V675" t="inlineStr">
        <is>
          <t>COD</t>
        </is>
      </c>
      <c r="W675" t="n">
        <v>3</v>
      </c>
      <c r="X675" t="inlineStr">
        <is>
          <t>Customer Unavailable</t>
        </is>
      </c>
    </row>
    <row r="676">
      <c r="A676" t="inlineStr">
        <is>
          <t>ORD-2026-00675</t>
        </is>
      </c>
      <c r="B676" t="inlineStr">
        <is>
          <t>CUST-0102</t>
        </is>
      </c>
      <c r="C676" s="3" t="n">
        <v>46158</v>
      </c>
      <c r="D676" s="3" t="n">
        <v>46166</v>
      </c>
      <c r="E676" s="3" t="n">
        <v>46166</v>
      </c>
      <c r="F676" t="inlineStr">
        <is>
          <t>Delhi</t>
        </is>
      </c>
      <c r="G676" t="inlineStr">
        <is>
          <t>Delhi</t>
        </is>
      </c>
      <c r="H676" t="inlineStr">
        <is>
          <t>DTDC</t>
        </is>
      </c>
      <c r="I676" t="inlineStr">
        <is>
          <t>Truck</t>
        </is>
      </c>
      <c r="J676" t="inlineStr">
        <is>
          <t>High</t>
        </is>
      </c>
      <c r="K676" t="inlineStr">
        <is>
          <t>Delivered</t>
        </is>
      </c>
      <c r="L676" t="n">
        <v>1524.01</v>
      </c>
      <c r="M676" t="n">
        <v>2343</v>
      </c>
      <c r="N676" t="n">
        <v>46.3</v>
      </c>
      <c r="O676" t="n">
        <v>8171.39</v>
      </c>
      <c r="P676" t="n">
        <v>304.02</v>
      </c>
      <c r="Q676">
        <f>ROUND(L676*M676*N676/1000+O676+P676,2)</f>
        <v/>
      </c>
      <c r="R676" t="inlineStr">
        <is>
          <t>Yes</t>
        </is>
      </c>
      <c r="S676">
        <f>IF(OR(E676="",D676=""),"",MAX(0,E676-D676))</f>
        <v/>
      </c>
      <c r="T676" t="inlineStr">
        <is>
          <t>No</t>
        </is>
      </c>
      <c r="U676" t="n">
        <v>77</v>
      </c>
      <c r="V676" t="inlineStr">
        <is>
          <t>Failed</t>
        </is>
      </c>
      <c r="W676" t="n">
        <v>3</v>
      </c>
      <c r="X676" t="inlineStr">
        <is>
          <t>Address Error</t>
        </is>
      </c>
    </row>
    <row r="677">
      <c r="A677" t="inlineStr">
        <is>
          <t>ORD-2026-00676</t>
        </is>
      </c>
      <c r="B677" t="inlineStr">
        <is>
          <t>CUST-0116</t>
        </is>
      </c>
      <c r="C677" s="3" t="n">
        <v>46090</v>
      </c>
      <c r="D677" s="3" t="n">
        <v>46098</v>
      </c>
      <c r="E677" s="3" t="n">
        <v>46103</v>
      </c>
      <c r="F677" t="inlineStr">
        <is>
          <t>Pune</t>
        </is>
      </c>
      <c r="G677" t="inlineStr">
        <is>
          <t>Chennai</t>
        </is>
      </c>
      <c r="H677" t="inlineStr">
        <is>
          <t>DTDC</t>
        </is>
      </c>
      <c r="I677" t="inlineStr">
        <is>
          <t>Container</t>
        </is>
      </c>
      <c r="J677" t="inlineStr">
        <is>
          <t>Critical</t>
        </is>
      </c>
      <c r="K677" t="inlineStr">
        <is>
          <t>Delivered</t>
        </is>
      </c>
      <c r="L677" t="n">
        <v>927.29</v>
      </c>
      <c r="M677" t="n">
        <v>1259</v>
      </c>
      <c r="N677" t="n">
        <v>27.02</v>
      </c>
      <c r="O677" t="n">
        <v>1616.23</v>
      </c>
      <c r="P677" t="n">
        <v>1122.92</v>
      </c>
      <c r="Q677">
        <f>ROUND(L677*M677*N677/1000+O677+P677,2)</f>
        <v/>
      </c>
      <c r="R677" t="inlineStr">
        <is>
          <t>No</t>
        </is>
      </c>
      <c r="S677">
        <f>IF(OR(E677="",D677=""),"",MAX(0,E677-D677))</f>
        <v/>
      </c>
      <c r="T677" t="inlineStr">
        <is>
          <t>Yes</t>
        </is>
      </c>
      <c r="U677" t="n">
        <v>52</v>
      </c>
      <c r="V677" t="inlineStr">
        <is>
          <t>Paid</t>
        </is>
      </c>
      <c r="W677" t="n">
        <v>4</v>
      </c>
      <c r="X677" t="inlineStr">
        <is>
          <t>Vehicle Breakdown</t>
        </is>
      </c>
    </row>
    <row r="678">
      <c r="A678" t="inlineStr">
        <is>
          <t>ORD-2026-00677</t>
        </is>
      </c>
      <c r="B678" t="inlineStr">
        <is>
          <t>CUST-0096</t>
        </is>
      </c>
      <c r="C678" s="3" t="n">
        <v>46188</v>
      </c>
      <c r="D678" s="3" t="n">
        <v>46191</v>
      </c>
      <c r="E678" s="3" t="n">
        <v>46201</v>
      </c>
      <c r="F678" t="inlineStr">
        <is>
          <t>Ahmedabad</t>
        </is>
      </c>
      <c r="G678" t="inlineStr">
        <is>
          <t>Hyderabad</t>
        </is>
      </c>
      <c r="H678" t="inlineStr">
        <is>
          <t>Delhivery</t>
        </is>
      </c>
      <c r="I678" t="inlineStr">
        <is>
          <t>Container</t>
        </is>
      </c>
      <c r="J678" t="inlineStr">
        <is>
          <t>High</t>
        </is>
      </c>
      <c r="K678" t="inlineStr">
        <is>
          <t>Delivered</t>
        </is>
      </c>
      <c r="L678" t="n">
        <v>49.19</v>
      </c>
      <c r="M678" t="n">
        <v>833</v>
      </c>
      <c r="N678" t="n">
        <v>19.89</v>
      </c>
      <c r="O678" t="n">
        <v>59.5</v>
      </c>
      <c r="P678" t="n">
        <v>456.3</v>
      </c>
      <c r="Q678">
        <f>ROUND(L678*M678*N678/1000+O678+P678,2)</f>
        <v/>
      </c>
      <c r="R678" t="inlineStr">
        <is>
          <t>No</t>
        </is>
      </c>
      <c r="S678">
        <f>IF(OR(E678="",D678=""),"",MAX(0,E678-D678))</f>
        <v/>
      </c>
      <c r="T678" t="inlineStr">
        <is>
          <t>Yes</t>
        </is>
      </c>
      <c r="U678" t="n">
        <v>28</v>
      </c>
      <c r="V678" t="inlineStr">
        <is>
          <t>Failed</t>
        </is>
      </c>
      <c r="W678" t="n">
        <v>3</v>
      </c>
      <c r="X678" t="inlineStr">
        <is>
          <t>None</t>
        </is>
      </c>
    </row>
    <row r="679">
      <c r="A679" t="inlineStr">
        <is>
          <t>ORD-2026-00678</t>
        </is>
      </c>
      <c r="B679" t="inlineStr">
        <is>
          <t>CUST-0169</t>
        </is>
      </c>
      <c r="C679" s="3" t="n">
        <v>46042</v>
      </c>
      <c r="D679" s="3" t="n">
        <v>46046</v>
      </c>
      <c r="E679" s="3" t="n">
        <v>46046</v>
      </c>
      <c r="F679" t="inlineStr">
        <is>
          <t>Chennai</t>
        </is>
      </c>
      <c r="G679" t="inlineStr">
        <is>
          <t>Jaipur</t>
        </is>
      </c>
      <c r="H679" t="inlineStr">
        <is>
          <t>DHL</t>
        </is>
      </c>
      <c r="I679" t="inlineStr">
        <is>
          <t>Refrigerated Truck</t>
        </is>
      </c>
      <c r="J679" t="inlineStr">
        <is>
          <t>Critical</t>
        </is>
      </c>
      <c r="K679" t="inlineStr">
        <is>
          <t>Delivered</t>
        </is>
      </c>
      <c r="L679" t="n">
        <v>2353.76</v>
      </c>
      <c r="M679" t="n">
        <v>2433</v>
      </c>
      <c r="N679" t="n">
        <v>34.78</v>
      </c>
      <c r="O679" t="n">
        <v>17580.74</v>
      </c>
      <c r="P679" t="n">
        <v>88.08</v>
      </c>
      <c r="Q679">
        <f>ROUND(L679*M679*N679/1000+O679+P679,2)</f>
        <v/>
      </c>
      <c r="R679" t="inlineStr">
        <is>
          <t>Yes</t>
        </is>
      </c>
      <c r="S679">
        <f>IF(OR(E679="",D679=""),"",MAX(0,E679-D679))</f>
        <v/>
      </c>
      <c r="T679" t="inlineStr">
        <is>
          <t>Yes</t>
        </is>
      </c>
      <c r="U679" t="n">
        <v>13</v>
      </c>
      <c r="V679" t="inlineStr">
        <is>
          <t>Paid</t>
        </is>
      </c>
      <c r="W679" t="n">
        <v>3</v>
      </c>
      <c r="X679" t="inlineStr">
        <is>
          <t>Vehicle Breakdown</t>
        </is>
      </c>
    </row>
    <row r="680">
      <c r="A680" t="inlineStr">
        <is>
          <t>ORD-2026-00679</t>
        </is>
      </c>
      <c r="B680" t="inlineStr">
        <is>
          <t>CUST-0039</t>
        </is>
      </c>
      <c r="C680" s="3" t="n">
        <v>46160</v>
      </c>
      <c r="D680" s="3" t="n">
        <v>46166</v>
      </c>
      <c r="E680" s="3" t="n">
        <v>46166</v>
      </c>
      <c r="F680" t="inlineStr">
        <is>
          <t>Delhi</t>
        </is>
      </c>
      <c r="G680" t="inlineStr">
        <is>
          <t>Kolkata</t>
        </is>
      </c>
      <c r="H680" t="inlineStr">
        <is>
          <t>FedEx</t>
        </is>
      </c>
      <c r="I680" t="inlineStr">
        <is>
          <t>Bike</t>
        </is>
      </c>
      <c r="J680" t="inlineStr">
        <is>
          <t>Normal</t>
        </is>
      </c>
      <c r="K680" t="inlineStr">
        <is>
          <t>Delivered</t>
        </is>
      </c>
      <c r="L680" t="n">
        <v>1179.87</v>
      </c>
      <c r="M680" t="n">
        <v>308</v>
      </c>
      <c r="N680" t="n">
        <v>26.5</v>
      </c>
      <c r="O680" t="n">
        <v>736.84</v>
      </c>
      <c r="P680" t="n">
        <v>632.39</v>
      </c>
      <c r="Q680">
        <f>ROUND(L680*M680*N680/1000+O680+P680,2)</f>
        <v/>
      </c>
      <c r="R680" t="inlineStr">
        <is>
          <t>Yes</t>
        </is>
      </c>
      <c r="S680">
        <f>IF(OR(E680="",D680=""),"",MAX(0,E680-D680))</f>
        <v/>
      </c>
      <c r="T680" t="inlineStr">
        <is>
          <t>Yes</t>
        </is>
      </c>
      <c r="U680" t="n">
        <v>57</v>
      </c>
      <c r="V680" t="inlineStr">
        <is>
          <t>Pending</t>
        </is>
      </c>
      <c r="W680" t="n">
        <v>3</v>
      </c>
      <c r="X680" t="inlineStr">
        <is>
          <t>Customs</t>
        </is>
      </c>
    </row>
    <row r="681">
      <c r="A681" t="inlineStr">
        <is>
          <t>ORD-2026-00680</t>
        </is>
      </c>
      <c r="B681" t="inlineStr">
        <is>
          <t>CUST-0183</t>
        </is>
      </c>
      <c r="C681" s="3" t="n">
        <v>46162</v>
      </c>
      <c r="D681" s="3" t="n">
        <v>46167</v>
      </c>
      <c r="E681" s="3" t="n">
        <v>46168</v>
      </c>
      <c r="F681" t="inlineStr">
        <is>
          <t>Hyderabad</t>
        </is>
      </c>
      <c r="G681" t="inlineStr">
        <is>
          <t>Hyderabad</t>
        </is>
      </c>
      <c r="H681" t="inlineStr">
        <is>
          <t>Aramex</t>
        </is>
      </c>
      <c r="I681" t="inlineStr">
        <is>
          <t>Container</t>
        </is>
      </c>
      <c r="J681" t="inlineStr">
        <is>
          <t>Normal</t>
        </is>
      </c>
      <c r="K681" t="inlineStr">
        <is>
          <t>Delivered</t>
        </is>
      </c>
      <c r="L681" t="n">
        <v>1724.08</v>
      </c>
      <c r="M681" t="n">
        <v>580</v>
      </c>
      <c r="N681" t="n">
        <v>52.01</v>
      </c>
      <c r="O681" t="n">
        <v>1772.45</v>
      </c>
      <c r="P681" t="n">
        <v>1183.13</v>
      </c>
      <c r="Q681">
        <f>ROUND(L681*M681*N681/1000+O681+P681,2)</f>
        <v/>
      </c>
      <c r="R681" t="inlineStr">
        <is>
          <t>No</t>
        </is>
      </c>
      <c r="S681">
        <f>IF(OR(E681="",D681=""),"",MAX(0,E681-D681))</f>
        <v/>
      </c>
      <c r="T681" t="inlineStr">
        <is>
          <t>Yes</t>
        </is>
      </c>
      <c r="U681" t="n">
        <v>42</v>
      </c>
      <c r="V681" t="inlineStr">
        <is>
          <t>Failed</t>
        </is>
      </c>
      <c r="W681" t="n">
        <v>2</v>
      </c>
      <c r="X681" t="inlineStr">
        <is>
          <t>Weather</t>
        </is>
      </c>
    </row>
    <row r="682">
      <c r="A682" t="inlineStr">
        <is>
          <t>ORD-2026-00681</t>
        </is>
      </c>
      <c r="B682" t="inlineStr">
        <is>
          <t>CUST-0106</t>
        </is>
      </c>
      <c r="C682" s="3" t="n">
        <v>46115</v>
      </c>
      <c r="D682" s="3" t="n">
        <v>46121</v>
      </c>
      <c r="E682" s="3" t="n">
        <v>46121</v>
      </c>
      <c r="F682" t="inlineStr">
        <is>
          <t>Chennai</t>
        </is>
      </c>
      <c r="G682" t="inlineStr">
        <is>
          <t>Chennai</t>
        </is>
      </c>
      <c r="H682" t="inlineStr">
        <is>
          <t>Aramex</t>
        </is>
      </c>
      <c r="I682" t="inlineStr">
        <is>
          <t>Container</t>
        </is>
      </c>
      <c r="J682" t="inlineStr">
        <is>
          <t>Low</t>
        </is>
      </c>
      <c r="K682" t="inlineStr">
        <is>
          <t>Delivered</t>
        </is>
      </c>
      <c r="L682" t="n">
        <v>647.9400000000001</v>
      </c>
      <c r="M682" t="n">
        <v>2477</v>
      </c>
      <c r="N682" t="n">
        <v>50.62</v>
      </c>
      <c r="O682" t="n">
        <v>2550.06</v>
      </c>
      <c r="P682" t="n">
        <v>196.4</v>
      </c>
      <c r="Q682">
        <f>ROUND(L682*M682*N682/1000+O682+P682,2)</f>
        <v/>
      </c>
      <c r="R682" t="inlineStr">
        <is>
          <t>Yes</t>
        </is>
      </c>
      <c r="S682">
        <f>IF(OR(E682="",D682=""),"",MAX(0,E682-D682))</f>
        <v/>
      </c>
      <c r="T682" t="inlineStr">
        <is>
          <t>Yes</t>
        </is>
      </c>
      <c r="U682" t="n">
        <v>66</v>
      </c>
      <c r="V682" t="inlineStr">
        <is>
          <t>COD</t>
        </is>
      </c>
      <c r="W682" t="n">
        <v>1</v>
      </c>
      <c r="X682" t="inlineStr">
        <is>
          <t>Customs</t>
        </is>
      </c>
    </row>
    <row r="683">
      <c r="A683" t="inlineStr">
        <is>
          <t>ORD-2026-00682</t>
        </is>
      </c>
      <c r="B683" t="inlineStr">
        <is>
          <t>CUST-0189</t>
        </is>
      </c>
      <c r="C683" s="3" t="n">
        <v>46134</v>
      </c>
      <c r="D683" s="3" t="n">
        <v>46135</v>
      </c>
      <c r="E683" s="3" t="n">
        <v>46140</v>
      </c>
      <c r="F683" t="inlineStr">
        <is>
          <t>Mumbai</t>
        </is>
      </c>
      <c r="G683" t="inlineStr">
        <is>
          <t>Kolkata</t>
        </is>
      </c>
      <c r="H683" t="inlineStr">
        <is>
          <t>BlueDart</t>
        </is>
      </c>
      <c r="I683" t="inlineStr">
        <is>
          <t>Bike</t>
        </is>
      </c>
      <c r="J683" t="inlineStr">
        <is>
          <t>Low</t>
        </is>
      </c>
      <c r="K683" t="inlineStr">
        <is>
          <t>Delivered</t>
        </is>
      </c>
      <c r="L683" t="n">
        <v>818.01</v>
      </c>
      <c r="M683" t="n">
        <v>2211</v>
      </c>
      <c r="N683" t="n">
        <v>36.04</v>
      </c>
      <c r="O683" t="n">
        <v>4203.56</v>
      </c>
      <c r="P683" t="n">
        <v>958.87</v>
      </c>
      <c r="Q683">
        <f>ROUND(L683*M683*N683/1000+O683+P683,2)</f>
        <v/>
      </c>
      <c r="R683" t="inlineStr">
        <is>
          <t>No</t>
        </is>
      </c>
      <c r="S683">
        <f>IF(OR(E683="",D683=""),"",MAX(0,E683-D683))</f>
        <v/>
      </c>
      <c r="T683" t="inlineStr">
        <is>
          <t>Yes</t>
        </is>
      </c>
      <c r="U683" t="n">
        <v>66</v>
      </c>
      <c r="V683" t="inlineStr">
        <is>
          <t>Paid</t>
        </is>
      </c>
      <c r="W683" t="n">
        <v>5</v>
      </c>
      <c r="X683" t="inlineStr">
        <is>
          <t>Weather</t>
        </is>
      </c>
    </row>
    <row r="684">
      <c r="A684" t="inlineStr">
        <is>
          <t>ORD-2026-00683</t>
        </is>
      </c>
      <c r="B684" t="inlineStr">
        <is>
          <t>CUST-0039</t>
        </is>
      </c>
      <c r="C684" s="3" t="n">
        <v>46179</v>
      </c>
      <c r="D684" s="3" t="n">
        <v>46183</v>
      </c>
      <c r="E684" s="3" t="n">
        <v>46185</v>
      </c>
      <c r="F684" t="inlineStr">
        <is>
          <t>Hyderabad</t>
        </is>
      </c>
      <c r="G684" t="inlineStr">
        <is>
          <t>Mumbai</t>
        </is>
      </c>
      <c r="H684" t="inlineStr">
        <is>
          <t>DHL</t>
        </is>
      </c>
      <c r="I684" t="inlineStr">
        <is>
          <t>Bike</t>
        </is>
      </c>
      <c r="J684" t="inlineStr">
        <is>
          <t>High</t>
        </is>
      </c>
      <c r="K684" t="inlineStr">
        <is>
          <t>Delivered</t>
        </is>
      </c>
      <c r="L684" t="n">
        <v>1077.65</v>
      </c>
      <c r="M684" t="n">
        <v>1139</v>
      </c>
      <c r="N684" t="n">
        <v>34.55</v>
      </c>
      <c r="O684" t="n">
        <v>3535.2</v>
      </c>
      <c r="P684" t="n">
        <v>1491.64</v>
      </c>
      <c r="Q684">
        <f>ROUND(L684*M684*N684/1000+O684+P684,2)</f>
        <v/>
      </c>
      <c r="R684" t="inlineStr">
        <is>
          <t>No</t>
        </is>
      </c>
      <c r="S684">
        <f>IF(OR(E684="",D684=""),"",MAX(0,E684-D684))</f>
        <v/>
      </c>
      <c r="T684" t="inlineStr">
        <is>
          <t>No</t>
        </is>
      </c>
      <c r="U684" t="n">
        <v>68</v>
      </c>
      <c r="V684" t="inlineStr">
        <is>
          <t>Failed</t>
        </is>
      </c>
      <c r="W684" t="n">
        <v>1</v>
      </c>
      <c r="X684" t="inlineStr">
        <is>
          <t>Weather</t>
        </is>
      </c>
    </row>
    <row r="685">
      <c r="A685" t="inlineStr">
        <is>
          <t>ORD-2026-00684</t>
        </is>
      </c>
      <c r="B685" t="inlineStr">
        <is>
          <t>CUST-0150</t>
        </is>
      </c>
      <c r="C685" s="3" t="n">
        <v>46170</v>
      </c>
      <c r="D685" s="3" t="n">
        <v>46175</v>
      </c>
      <c r="E685" s="3" t="n">
        <v>46175</v>
      </c>
      <c r="F685" t="inlineStr">
        <is>
          <t>Hyderabad</t>
        </is>
      </c>
      <c r="G685" t="inlineStr">
        <is>
          <t>Surat</t>
        </is>
      </c>
      <c r="H685" t="inlineStr">
        <is>
          <t>Delhivery</t>
        </is>
      </c>
      <c r="I685" t="inlineStr">
        <is>
          <t>Truck</t>
        </is>
      </c>
      <c r="J685" t="inlineStr">
        <is>
          <t>High</t>
        </is>
      </c>
      <c r="K685" t="inlineStr">
        <is>
          <t>Delivered</t>
        </is>
      </c>
      <c r="L685" t="n">
        <v>47.67</v>
      </c>
      <c r="M685" t="n">
        <v>927</v>
      </c>
      <c r="N685" t="n">
        <v>26.38</v>
      </c>
      <c r="O685" t="n">
        <v>45.5</v>
      </c>
      <c r="P685" t="n">
        <v>1286.25</v>
      </c>
      <c r="Q685">
        <f>ROUND(L685*M685*N685/1000+O685+P685,2)</f>
        <v/>
      </c>
      <c r="R685" t="inlineStr">
        <is>
          <t>Yes</t>
        </is>
      </c>
      <c r="S685">
        <f>IF(OR(E685="",D685=""),"",MAX(0,E685-D685))</f>
        <v/>
      </c>
      <c r="T685" t="inlineStr">
        <is>
          <t>Yes</t>
        </is>
      </c>
      <c r="U685" t="n">
        <v>25</v>
      </c>
      <c r="V685" t="inlineStr">
        <is>
          <t>Pending</t>
        </is>
      </c>
      <c r="W685" t="n">
        <v>2</v>
      </c>
      <c r="X685" t="inlineStr">
        <is>
          <t>Vehicle Breakdown</t>
        </is>
      </c>
    </row>
    <row r="686">
      <c r="A686" t="inlineStr">
        <is>
          <t>ORD-2026-00685</t>
        </is>
      </c>
      <c r="B686" t="inlineStr">
        <is>
          <t>CUST-0081</t>
        </is>
      </c>
      <c r="C686" s="3" t="n">
        <v>46069</v>
      </c>
      <c r="D686" s="3" t="n">
        <v>46071</v>
      </c>
      <c r="E686" s="3" t="n">
        <v>46071</v>
      </c>
      <c r="F686" t="inlineStr">
        <is>
          <t>Bengaluru</t>
        </is>
      </c>
      <c r="G686" t="inlineStr">
        <is>
          <t>Bengaluru</t>
        </is>
      </c>
      <c r="H686" t="inlineStr">
        <is>
          <t>DHL</t>
        </is>
      </c>
      <c r="I686" t="inlineStr">
        <is>
          <t>Refrigerated Truck</t>
        </is>
      </c>
      <c r="J686" t="inlineStr">
        <is>
          <t>Normal</t>
        </is>
      </c>
      <c r="K686" t="inlineStr">
        <is>
          <t>Delivered</t>
        </is>
      </c>
      <c r="L686" t="n">
        <v>2111.82</v>
      </c>
      <c r="M686" t="n">
        <v>526</v>
      </c>
      <c r="N686" t="n">
        <v>38.78</v>
      </c>
      <c r="O686" t="n">
        <v>3759.79</v>
      </c>
      <c r="P686" t="n">
        <v>504.64</v>
      </c>
      <c r="Q686">
        <f>ROUND(L686*M686*N686/1000+O686+P686,2)</f>
        <v/>
      </c>
      <c r="R686" t="inlineStr">
        <is>
          <t>Yes</t>
        </is>
      </c>
      <c r="S686">
        <f>IF(OR(E686="",D686=""),"",MAX(0,E686-D686))</f>
        <v/>
      </c>
      <c r="T686" t="inlineStr">
        <is>
          <t>No</t>
        </is>
      </c>
      <c r="U686" t="n">
        <v>35</v>
      </c>
      <c r="V686" t="inlineStr">
        <is>
          <t>Pending</t>
        </is>
      </c>
      <c r="W686" t="n">
        <v>2</v>
      </c>
      <c r="X686" t="inlineStr">
        <is>
          <t>Customer Unavailable</t>
        </is>
      </c>
    </row>
    <row r="687">
      <c r="A687" t="inlineStr">
        <is>
          <t>ORD-2026-00686</t>
        </is>
      </c>
      <c r="B687" t="inlineStr">
        <is>
          <t>CUST-0054</t>
        </is>
      </c>
      <c r="C687" s="3" t="n">
        <v>46113</v>
      </c>
      <c r="D687" s="3" t="n">
        <v>46114</v>
      </c>
      <c r="E687" s="3" t="n">
        <v>46114</v>
      </c>
      <c r="F687" t="inlineStr">
        <is>
          <t>Chennai</t>
        </is>
      </c>
      <c r="G687" t="inlineStr">
        <is>
          <t>Ahmedabad</t>
        </is>
      </c>
      <c r="H687" t="inlineStr">
        <is>
          <t>Delhivery</t>
        </is>
      </c>
      <c r="I687" t="inlineStr">
        <is>
          <t>Container</t>
        </is>
      </c>
      <c r="J687" t="inlineStr">
        <is>
          <t>Critical</t>
        </is>
      </c>
      <c r="K687" t="inlineStr">
        <is>
          <t>Delivered</t>
        </is>
      </c>
      <c r="L687" t="n">
        <v>1099.38</v>
      </c>
      <c r="M687" t="n">
        <v>1541</v>
      </c>
      <c r="N687" t="n">
        <v>9.449999999999999</v>
      </c>
      <c r="O687" t="n">
        <v>1313.62</v>
      </c>
      <c r="P687" t="n">
        <v>1284.2</v>
      </c>
      <c r="Q687">
        <f>ROUND(L687*M687*N687/1000+O687+P687,2)</f>
        <v/>
      </c>
      <c r="R687" t="inlineStr">
        <is>
          <t>Yes</t>
        </is>
      </c>
      <c r="S687">
        <f>IF(OR(E687="",D687=""),"",MAX(0,E687-D687))</f>
        <v/>
      </c>
      <c r="T687" t="inlineStr">
        <is>
          <t>Yes</t>
        </is>
      </c>
      <c r="U687" t="n">
        <v>27</v>
      </c>
      <c r="V687" t="inlineStr">
        <is>
          <t>Failed</t>
        </is>
      </c>
      <c r="W687" t="n">
        <v>5</v>
      </c>
      <c r="X687" t="inlineStr">
        <is>
          <t>Customer Unavailable</t>
        </is>
      </c>
    </row>
    <row r="688">
      <c r="A688" t="inlineStr">
        <is>
          <t>ORD-2026-00687</t>
        </is>
      </c>
      <c r="B688" t="inlineStr">
        <is>
          <t>CUST-0126</t>
        </is>
      </c>
      <c r="C688" s="3" t="n">
        <v>46054</v>
      </c>
      <c r="D688" s="3" t="n">
        <v>46056</v>
      </c>
      <c r="E688" s="3" t="n">
        <v>46066</v>
      </c>
      <c r="F688" t="inlineStr">
        <is>
          <t>Kolkata</t>
        </is>
      </c>
      <c r="G688" t="inlineStr">
        <is>
          <t>Hyderabad</t>
        </is>
      </c>
      <c r="H688" t="inlineStr">
        <is>
          <t>Maersk</t>
        </is>
      </c>
      <c r="I688" t="inlineStr">
        <is>
          <t>Refrigerated Truck</t>
        </is>
      </c>
      <c r="J688" t="inlineStr">
        <is>
          <t>Critical</t>
        </is>
      </c>
      <c r="K688" t="inlineStr">
        <is>
          <t>Delivered</t>
        </is>
      </c>
      <c r="L688" t="n">
        <v>1445.97</v>
      </c>
      <c r="M688" t="n">
        <v>2120</v>
      </c>
      <c r="N688" t="n">
        <v>14.94</v>
      </c>
      <c r="O688" t="n">
        <v>3453</v>
      </c>
      <c r="P688" t="n">
        <v>198.13</v>
      </c>
      <c r="Q688">
        <f>ROUND(L688*M688*N688/1000+O688+P688,2)</f>
        <v/>
      </c>
      <c r="R688" t="inlineStr">
        <is>
          <t>No</t>
        </is>
      </c>
      <c r="S688">
        <f>IF(OR(E688="",D688=""),"",MAX(0,E688-D688))</f>
        <v/>
      </c>
      <c r="T688" t="inlineStr">
        <is>
          <t>Yes</t>
        </is>
      </c>
      <c r="U688" t="n">
        <v>27</v>
      </c>
      <c r="V688" t="inlineStr">
        <is>
          <t>Paid</t>
        </is>
      </c>
      <c r="W688" t="n">
        <v>5</v>
      </c>
      <c r="X688" t="inlineStr">
        <is>
          <t>Vehicle Breakdown</t>
        </is>
      </c>
    </row>
    <row r="689">
      <c r="A689" t="inlineStr">
        <is>
          <t>ORD-2026-00688</t>
        </is>
      </c>
      <c r="B689" t="inlineStr">
        <is>
          <t>CUST-0091</t>
        </is>
      </c>
      <c r="C689" s="3" t="n">
        <v>46145</v>
      </c>
      <c r="D689" s="3" t="n">
        <v>46150</v>
      </c>
      <c r="E689" s="3" t="n">
        <v>46150</v>
      </c>
      <c r="F689" t="inlineStr">
        <is>
          <t>Hyderabad</t>
        </is>
      </c>
      <c r="G689" t="inlineStr">
        <is>
          <t>Pune</t>
        </is>
      </c>
      <c r="H689" t="inlineStr">
        <is>
          <t>Aramex</t>
        </is>
      </c>
      <c r="I689" t="inlineStr">
        <is>
          <t>Van</t>
        </is>
      </c>
      <c r="J689" t="inlineStr">
        <is>
          <t>Critical</t>
        </is>
      </c>
      <c r="K689" t="inlineStr">
        <is>
          <t>Delivered</t>
        </is>
      </c>
      <c r="L689" t="n">
        <v>40.86</v>
      </c>
      <c r="M689" t="n">
        <v>1561</v>
      </c>
      <c r="N689" t="n">
        <v>53.79</v>
      </c>
      <c r="O689" t="n">
        <v>185.33</v>
      </c>
      <c r="P689" t="n">
        <v>1289.09</v>
      </c>
      <c r="Q689">
        <f>ROUND(L689*M689*N689/1000+O689+P689,2)</f>
        <v/>
      </c>
      <c r="R689" t="inlineStr">
        <is>
          <t>Yes</t>
        </is>
      </c>
      <c r="S689">
        <f>IF(OR(E689="",D689=""),"",MAX(0,E689-D689))</f>
        <v/>
      </c>
      <c r="T689" t="inlineStr">
        <is>
          <t>No</t>
        </is>
      </c>
      <c r="U689" t="n">
        <v>30</v>
      </c>
      <c r="V689" t="inlineStr">
        <is>
          <t>Paid</t>
        </is>
      </c>
      <c r="W689" t="n">
        <v>4</v>
      </c>
      <c r="X689" t="inlineStr">
        <is>
          <t>Weather</t>
        </is>
      </c>
    </row>
    <row r="690">
      <c r="A690" t="inlineStr">
        <is>
          <t>ORD-2026-00689</t>
        </is>
      </c>
      <c r="B690" t="inlineStr">
        <is>
          <t>CUST-0036</t>
        </is>
      </c>
      <c r="C690" s="3" t="n">
        <v>46027</v>
      </c>
      <c r="D690" s="3" t="n">
        <v>46032</v>
      </c>
      <c r="E690" s="3" t="n">
        <v>46033</v>
      </c>
      <c r="F690" t="inlineStr">
        <is>
          <t>Jaipur</t>
        </is>
      </c>
      <c r="G690" t="inlineStr">
        <is>
          <t>Ahmedabad</t>
        </is>
      </c>
      <c r="H690" t="inlineStr">
        <is>
          <t>BlueDart</t>
        </is>
      </c>
      <c r="I690" t="inlineStr">
        <is>
          <t>Bike</t>
        </is>
      </c>
      <c r="J690" t="inlineStr">
        <is>
          <t>Normal</t>
        </is>
      </c>
      <c r="K690" t="inlineStr">
        <is>
          <t>Delivered</t>
        </is>
      </c>
      <c r="L690" t="n">
        <v>113.9</v>
      </c>
      <c r="M690" t="n">
        <v>1024</v>
      </c>
      <c r="N690" t="n">
        <v>18.11</v>
      </c>
      <c r="O690" t="n">
        <v>64.54000000000001</v>
      </c>
      <c r="P690" t="n">
        <v>787.5599999999999</v>
      </c>
      <c r="Q690">
        <f>ROUND(L690*M690*N690/1000+O690+P690,2)</f>
        <v/>
      </c>
      <c r="R690" t="inlineStr">
        <is>
          <t>No</t>
        </is>
      </c>
      <c r="S690">
        <f>IF(OR(E690="",D690=""),"",MAX(0,E690-D690))</f>
        <v/>
      </c>
      <c r="T690" t="inlineStr">
        <is>
          <t>No</t>
        </is>
      </c>
      <c r="U690" t="n">
        <v>48</v>
      </c>
      <c r="V690" t="inlineStr">
        <is>
          <t>Failed</t>
        </is>
      </c>
      <c r="W690" t="n">
        <v>2</v>
      </c>
      <c r="X690" t="inlineStr">
        <is>
          <t>Weather</t>
        </is>
      </c>
    </row>
    <row r="691">
      <c r="A691" t="inlineStr">
        <is>
          <t>ORD-2026-00690</t>
        </is>
      </c>
      <c r="B691" t="inlineStr">
        <is>
          <t>CUST-0042</t>
        </is>
      </c>
      <c r="C691" s="3" t="n">
        <v>46067</v>
      </c>
      <c r="D691" s="3" t="n">
        <v>46070</v>
      </c>
      <c r="E691" s="3" t="n">
        <v>46075</v>
      </c>
      <c r="F691" t="inlineStr">
        <is>
          <t>Ahmedabad</t>
        </is>
      </c>
      <c r="G691" t="inlineStr">
        <is>
          <t>Jaipur</t>
        </is>
      </c>
      <c r="H691" t="inlineStr">
        <is>
          <t>DHL</t>
        </is>
      </c>
      <c r="I691" t="inlineStr">
        <is>
          <t>Refrigerated Truck</t>
        </is>
      </c>
      <c r="J691" t="inlineStr">
        <is>
          <t>Critical</t>
        </is>
      </c>
      <c r="K691" t="inlineStr">
        <is>
          <t>Delivered</t>
        </is>
      </c>
      <c r="L691" t="n">
        <v>1855.05</v>
      </c>
      <c r="M691" t="n">
        <v>2743</v>
      </c>
      <c r="N691" t="n">
        <v>18.35</v>
      </c>
      <c r="O691" t="n">
        <v>7726.05</v>
      </c>
      <c r="P691" t="n">
        <v>181.9</v>
      </c>
      <c r="Q691">
        <f>ROUND(L691*M691*N691/1000+O691+P691,2)</f>
        <v/>
      </c>
      <c r="R691" t="inlineStr">
        <is>
          <t>No</t>
        </is>
      </c>
      <c r="S691">
        <f>IF(OR(E691="",D691=""),"",MAX(0,E691-D691))</f>
        <v/>
      </c>
      <c r="T691" t="inlineStr">
        <is>
          <t>No</t>
        </is>
      </c>
      <c r="U691" t="n">
        <v>34</v>
      </c>
      <c r="V691" t="inlineStr">
        <is>
          <t>COD</t>
        </is>
      </c>
      <c r="W691" t="n">
        <v>1</v>
      </c>
      <c r="X691" t="inlineStr">
        <is>
          <t>Customer Unavailable</t>
        </is>
      </c>
    </row>
    <row r="692">
      <c r="A692" t="inlineStr">
        <is>
          <t>ORD-2026-00691</t>
        </is>
      </c>
      <c r="B692" t="inlineStr">
        <is>
          <t>CUST-0154</t>
        </is>
      </c>
      <c r="C692" s="3" t="n">
        <v>46029</v>
      </c>
      <c r="D692" s="3" t="n">
        <v>46035</v>
      </c>
      <c r="E692" s="3" t="n">
        <v>46035</v>
      </c>
      <c r="F692" t="inlineStr">
        <is>
          <t>Surat</t>
        </is>
      </c>
      <c r="G692" t="inlineStr">
        <is>
          <t>Delhi</t>
        </is>
      </c>
      <c r="H692" t="inlineStr">
        <is>
          <t>DHL</t>
        </is>
      </c>
      <c r="I692" t="inlineStr">
        <is>
          <t>Van</t>
        </is>
      </c>
      <c r="J692" t="inlineStr">
        <is>
          <t>Low</t>
        </is>
      </c>
      <c r="K692" t="inlineStr">
        <is>
          <t>Delivered</t>
        </is>
      </c>
      <c r="L692" t="n">
        <v>1837.51</v>
      </c>
      <c r="M692" t="n">
        <v>596</v>
      </c>
      <c r="N692" t="n">
        <v>60.07</v>
      </c>
      <c r="O692" t="n">
        <v>2157.12</v>
      </c>
      <c r="P692" t="n">
        <v>578.01</v>
      </c>
      <c r="Q692">
        <f>ROUND(L692*M692*N692/1000+O692+P692,2)</f>
        <v/>
      </c>
      <c r="R692" t="inlineStr">
        <is>
          <t>Yes</t>
        </is>
      </c>
      <c r="S692">
        <f>IF(OR(E692="",D692=""),"",MAX(0,E692-D692))</f>
        <v/>
      </c>
      <c r="T692" t="inlineStr">
        <is>
          <t>No</t>
        </is>
      </c>
      <c r="U692" t="n">
        <v>29</v>
      </c>
      <c r="V692" t="inlineStr">
        <is>
          <t>Paid</t>
        </is>
      </c>
      <c r="W692" t="n">
        <v>4</v>
      </c>
      <c r="X692" t="inlineStr">
        <is>
          <t>None</t>
        </is>
      </c>
    </row>
    <row r="693">
      <c r="A693" t="inlineStr">
        <is>
          <t>ORD-2026-00692</t>
        </is>
      </c>
      <c r="B693" t="inlineStr">
        <is>
          <t>CUST-0080</t>
        </is>
      </c>
      <c r="C693" s="3" t="n">
        <v>46051</v>
      </c>
      <c r="D693" s="3" t="n">
        <v>46059</v>
      </c>
      <c r="E693" s="3" t="n">
        <v>46059</v>
      </c>
      <c r="F693" t="inlineStr">
        <is>
          <t>Jaipur</t>
        </is>
      </c>
      <c r="G693" t="inlineStr">
        <is>
          <t>Jaipur</t>
        </is>
      </c>
      <c r="H693" t="inlineStr">
        <is>
          <t>FedEx</t>
        </is>
      </c>
      <c r="I693" t="inlineStr">
        <is>
          <t>Truck</t>
        </is>
      </c>
      <c r="J693" t="inlineStr">
        <is>
          <t>High</t>
        </is>
      </c>
      <c r="K693" t="inlineStr">
        <is>
          <t>Delivered</t>
        </is>
      </c>
      <c r="L693" t="n">
        <v>2245.41</v>
      </c>
      <c r="M693" t="n">
        <v>1808</v>
      </c>
      <c r="N693" t="n">
        <v>15.66</v>
      </c>
      <c r="O693" t="n">
        <v>4208.42</v>
      </c>
      <c r="P693" t="n">
        <v>962.55</v>
      </c>
      <c r="Q693">
        <f>ROUND(L693*M693*N693/1000+O693+P693,2)</f>
        <v/>
      </c>
      <c r="R693" t="inlineStr">
        <is>
          <t>Yes</t>
        </is>
      </c>
      <c r="S693">
        <f>IF(OR(E693="",D693=""),"",MAX(0,E693-D693))</f>
        <v/>
      </c>
      <c r="T693" t="inlineStr">
        <is>
          <t>No</t>
        </is>
      </c>
      <c r="U693" t="n">
        <v>79</v>
      </c>
      <c r="V693" t="inlineStr">
        <is>
          <t>Paid</t>
        </is>
      </c>
      <c r="W693" t="n">
        <v>4</v>
      </c>
      <c r="X693" t="inlineStr">
        <is>
          <t>Weather</t>
        </is>
      </c>
    </row>
    <row r="694">
      <c r="A694" t="inlineStr">
        <is>
          <t>ORD-2026-00693</t>
        </is>
      </c>
      <c r="B694" t="inlineStr">
        <is>
          <t>CUST-0104</t>
        </is>
      </c>
      <c r="C694" s="3" t="n">
        <v>46214</v>
      </c>
      <c r="D694" s="3" t="n">
        <v>46218</v>
      </c>
      <c r="E694" s="3" t="n">
        <v>46218</v>
      </c>
      <c r="F694" t="inlineStr">
        <is>
          <t>Pune</t>
        </is>
      </c>
      <c r="G694" t="inlineStr">
        <is>
          <t>Kolkata</t>
        </is>
      </c>
      <c r="H694" t="inlineStr">
        <is>
          <t>BlueDart</t>
        </is>
      </c>
      <c r="I694" t="inlineStr">
        <is>
          <t>Truck</t>
        </is>
      </c>
      <c r="J694" t="inlineStr">
        <is>
          <t>Normal</t>
        </is>
      </c>
      <c r="K694" t="inlineStr">
        <is>
          <t>Delivered</t>
        </is>
      </c>
      <c r="L694" t="n">
        <v>2013.72</v>
      </c>
      <c r="M694" t="n">
        <v>589</v>
      </c>
      <c r="N694" t="n">
        <v>20.86</v>
      </c>
      <c r="O694" t="n">
        <v>864.26</v>
      </c>
      <c r="P694" t="n">
        <v>160.29</v>
      </c>
      <c r="Q694">
        <f>ROUND(L694*M694*N694/1000+O694+P694,2)</f>
        <v/>
      </c>
      <c r="R694" t="inlineStr">
        <is>
          <t>Yes</t>
        </is>
      </c>
      <c r="S694">
        <f>IF(OR(E694="",D694=""),"",MAX(0,E694-D694))</f>
        <v/>
      </c>
      <c r="T694" t="inlineStr">
        <is>
          <t>No</t>
        </is>
      </c>
      <c r="U694" t="n">
        <v>24</v>
      </c>
      <c r="V694" t="inlineStr">
        <is>
          <t>COD</t>
        </is>
      </c>
      <c r="W694" t="n">
        <v>3</v>
      </c>
      <c r="X694" t="inlineStr">
        <is>
          <t>Damaged Package</t>
        </is>
      </c>
    </row>
    <row r="695">
      <c r="A695" t="inlineStr">
        <is>
          <t>ORD-2026-00694</t>
        </is>
      </c>
      <c r="B695" t="inlineStr">
        <is>
          <t>CUST-0192</t>
        </is>
      </c>
      <c r="C695" s="3" t="n">
        <v>46141</v>
      </c>
      <c r="D695" s="3" t="n">
        <v>46146</v>
      </c>
      <c r="E695" s="3" t="n">
        <v>46148</v>
      </c>
      <c r="F695" t="inlineStr">
        <is>
          <t>Chennai</t>
        </is>
      </c>
      <c r="G695" t="inlineStr">
        <is>
          <t>Ahmedabad</t>
        </is>
      </c>
      <c r="H695" t="inlineStr">
        <is>
          <t>Aramex</t>
        </is>
      </c>
      <c r="I695" t="inlineStr">
        <is>
          <t>Truck</t>
        </is>
      </c>
      <c r="J695" t="inlineStr">
        <is>
          <t>Normal</t>
        </is>
      </c>
      <c r="K695" t="inlineStr">
        <is>
          <t>Delivered</t>
        </is>
      </c>
      <c r="L695" t="n">
        <v>1055.34</v>
      </c>
      <c r="M695" t="n">
        <v>2713</v>
      </c>
      <c r="N695" t="n">
        <v>16.28</v>
      </c>
      <c r="O695" t="n">
        <v>3457.88</v>
      </c>
      <c r="P695" t="n">
        <v>1279.11</v>
      </c>
      <c r="Q695">
        <f>ROUND(L695*M695*N695/1000+O695+P695,2)</f>
        <v/>
      </c>
      <c r="R695" t="inlineStr">
        <is>
          <t>No</t>
        </is>
      </c>
      <c r="S695">
        <f>IF(OR(E695="",D695=""),"",MAX(0,E695-D695))</f>
        <v/>
      </c>
      <c r="T695" t="inlineStr">
        <is>
          <t>Yes</t>
        </is>
      </c>
      <c r="U695" t="n">
        <v>19</v>
      </c>
      <c r="V695" t="inlineStr">
        <is>
          <t>Paid</t>
        </is>
      </c>
      <c r="W695" t="n">
        <v>2</v>
      </c>
      <c r="X695" t="inlineStr">
        <is>
          <t>Address Error</t>
        </is>
      </c>
    </row>
    <row r="696">
      <c r="A696" t="inlineStr">
        <is>
          <t>ORD-2026-00695</t>
        </is>
      </c>
      <c r="B696" t="inlineStr">
        <is>
          <t>CUST-0116</t>
        </is>
      </c>
      <c r="C696" s="3" t="n">
        <v>46124</v>
      </c>
      <c r="D696" s="3" t="n">
        <v>46130</v>
      </c>
      <c r="E696" s="3" t="n">
        <v>46130</v>
      </c>
      <c r="F696" t="inlineStr">
        <is>
          <t>Bengaluru</t>
        </is>
      </c>
      <c r="G696" t="inlineStr">
        <is>
          <t>Jaipur</t>
        </is>
      </c>
      <c r="H696" t="inlineStr">
        <is>
          <t>DTDC</t>
        </is>
      </c>
      <c r="I696" t="inlineStr">
        <is>
          <t>Refrigerated Truck</t>
        </is>
      </c>
      <c r="J696" t="inlineStr">
        <is>
          <t>Critical</t>
        </is>
      </c>
      <c r="K696" t="inlineStr">
        <is>
          <t>Delivered</t>
        </is>
      </c>
      <c r="L696" t="n">
        <v>2144.27</v>
      </c>
      <c r="M696" t="n">
        <v>774</v>
      </c>
      <c r="N696" t="n">
        <v>43.84</v>
      </c>
      <c r="O696" t="n">
        <v>5749.43</v>
      </c>
      <c r="P696" t="n">
        <v>874.26</v>
      </c>
      <c r="Q696">
        <f>ROUND(L696*M696*N696/1000+O696+P696,2)</f>
        <v/>
      </c>
      <c r="R696" t="inlineStr">
        <is>
          <t>Yes</t>
        </is>
      </c>
      <c r="S696">
        <f>IF(OR(E696="",D696=""),"",MAX(0,E696-D696))</f>
        <v/>
      </c>
      <c r="T696" t="inlineStr">
        <is>
          <t>Yes</t>
        </is>
      </c>
      <c r="U696" t="n">
        <v>36</v>
      </c>
      <c r="V696" t="inlineStr">
        <is>
          <t>COD</t>
        </is>
      </c>
      <c r="W696" t="n">
        <v>3</v>
      </c>
      <c r="X696" t="inlineStr">
        <is>
          <t>Address Error</t>
        </is>
      </c>
    </row>
    <row r="697">
      <c r="A697" t="inlineStr">
        <is>
          <t>ORD-2026-00696</t>
        </is>
      </c>
      <c r="B697" t="inlineStr">
        <is>
          <t>CUST-0068</t>
        </is>
      </c>
      <c r="C697" s="3" t="n">
        <v>46088</v>
      </c>
      <c r="D697" s="3" t="n">
        <v>46094</v>
      </c>
      <c r="E697" s="3" t="n">
        <v>46096</v>
      </c>
      <c r="F697" t="inlineStr">
        <is>
          <t>Mumbai</t>
        </is>
      </c>
      <c r="G697" t="inlineStr">
        <is>
          <t>Hyderabad</t>
        </is>
      </c>
      <c r="H697" t="inlineStr">
        <is>
          <t>Delhivery</t>
        </is>
      </c>
      <c r="I697" t="inlineStr">
        <is>
          <t>Van</t>
        </is>
      </c>
      <c r="J697" t="inlineStr">
        <is>
          <t>Normal</t>
        </is>
      </c>
      <c r="K697" t="inlineStr">
        <is>
          <t>Delivered</t>
        </is>
      </c>
      <c r="L697" t="n">
        <v>1372.48</v>
      </c>
      <c r="M697" t="n">
        <v>2721</v>
      </c>
      <c r="N697" t="n">
        <v>13.5</v>
      </c>
      <c r="O697" t="n">
        <v>4102.49</v>
      </c>
      <c r="P697" t="n">
        <v>1149.64</v>
      </c>
      <c r="Q697">
        <f>ROUND(L697*M697*N697/1000+O697+P697,2)</f>
        <v/>
      </c>
      <c r="R697" t="inlineStr">
        <is>
          <t>No</t>
        </is>
      </c>
      <c r="S697">
        <f>IF(OR(E697="",D697=""),"",MAX(0,E697-D697))</f>
        <v/>
      </c>
      <c r="T697" t="inlineStr">
        <is>
          <t>Yes</t>
        </is>
      </c>
      <c r="U697" t="n">
        <v>30</v>
      </c>
      <c r="V697" t="inlineStr">
        <is>
          <t>Failed</t>
        </is>
      </c>
      <c r="W697" t="n">
        <v>1</v>
      </c>
      <c r="X697" t="inlineStr">
        <is>
          <t>None</t>
        </is>
      </c>
    </row>
    <row r="698">
      <c r="A698" t="inlineStr">
        <is>
          <t>ORD-2026-00697</t>
        </is>
      </c>
      <c r="B698" t="inlineStr">
        <is>
          <t>CUST-0130</t>
        </is>
      </c>
      <c r="C698" s="3" t="n">
        <v>46163</v>
      </c>
      <c r="D698" s="3" t="n">
        <v>46168</v>
      </c>
      <c r="E698" s="3" t="n">
        <v>46168</v>
      </c>
      <c r="F698" t="inlineStr">
        <is>
          <t>Delhi</t>
        </is>
      </c>
      <c r="G698" t="inlineStr">
        <is>
          <t>Chennai</t>
        </is>
      </c>
      <c r="H698" t="inlineStr">
        <is>
          <t>Aramex</t>
        </is>
      </c>
      <c r="I698" t="inlineStr">
        <is>
          <t>Bike</t>
        </is>
      </c>
      <c r="J698" t="inlineStr">
        <is>
          <t>Normal</t>
        </is>
      </c>
      <c r="K698" t="inlineStr">
        <is>
          <t>Delivered</t>
        </is>
      </c>
      <c r="L698" t="n">
        <v>1131.69</v>
      </c>
      <c r="M698" t="n">
        <v>2271</v>
      </c>
      <c r="N698" t="n">
        <v>64.11</v>
      </c>
      <c r="O698" t="n">
        <v>5763.23</v>
      </c>
      <c r="P698" t="n">
        <v>1303.11</v>
      </c>
      <c r="Q698">
        <f>ROUND(L698*M698*N698/1000+O698+P698,2)</f>
        <v/>
      </c>
      <c r="R698" t="inlineStr">
        <is>
          <t>Yes</t>
        </is>
      </c>
      <c r="S698">
        <f>IF(OR(E698="",D698=""),"",MAX(0,E698-D698))</f>
        <v/>
      </c>
      <c r="T698" t="inlineStr">
        <is>
          <t>Yes</t>
        </is>
      </c>
      <c r="U698" t="n">
        <v>29</v>
      </c>
      <c r="V698" t="inlineStr">
        <is>
          <t>Paid</t>
        </is>
      </c>
      <c r="W698" t="n">
        <v>2</v>
      </c>
      <c r="X698" t="inlineStr">
        <is>
          <t>Damaged Package</t>
        </is>
      </c>
    </row>
    <row r="699">
      <c r="A699" t="inlineStr">
        <is>
          <t>ORD-2026-00698</t>
        </is>
      </c>
      <c r="B699" t="inlineStr">
        <is>
          <t>CUST-0059</t>
        </is>
      </c>
      <c r="C699" s="3" t="n">
        <v>46213</v>
      </c>
      <c r="D699" s="3" t="n">
        <v>46219</v>
      </c>
      <c r="E699" s="3" t="n">
        <v>46219</v>
      </c>
      <c r="F699" t="inlineStr">
        <is>
          <t>Surat</t>
        </is>
      </c>
      <c r="G699" t="inlineStr">
        <is>
          <t>Delhi</t>
        </is>
      </c>
      <c r="H699" t="inlineStr">
        <is>
          <t>FedEx</t>
        </is>
      </c>
      <c r="I699" t="inlineStr">
        <is>
          <t>Truck</t>
        </is>
      </c>
      <c r="J699" t="inlineStr">
        <is>
          <t>Low</t>
        </is>
      </c>
      <c r="K699" t="inlineStr">
        <is>
          <t>Delivered</t>
        </is>
      </c>
      <c r="L699" t="n">
        <v>1407.43</v>
      </c>
      <c r="M699" t="n">
        <v>2178</v>
      </c>
      <c r="N699" t="n">
        <v>37.93</v>
      </c>
      <c r="O699" t="n">
        <v>9070.870000000001</v>
      </c>
      <c r="P699" t="n">
        <v>556.73</v>
      </c>
      <c r="Q699">
        <f>ROUND(L699*M699*N699/1000+O699+P699,2)</f>
        <v/>
      </c>
      <c r="R699" t="inlineStr">
        <is>
          <t>Yes</t>
        </is>
      </c>
      <c r="S699">
        <f>IF(OR(E699="",D699=""),"",MAX(0,E699-D699))</f>
        <v/>
      </c>
      <c r="T699" t="inlineStr">
        <is>
          <t>Yes</t>
        </is>
      </c>
      <c r="U699" t="n">
        <v>80</v>
      </c>
      <c r="V699" t="inlineStr">
        <is>
          <t>Pending</t>
        </is>
      </c>
      <c r="W699" t="n">
        <v>2</v>
      </c>
      <c r="X699" t="inlineStr">
        <is>
          <t>Customs</t>
        </is>
      </c>
    </row>
    <row r="700">
      <c r="A700" t="inlineStr">
        <is>
          <t>ORD-2026-00699</t>
        </is>
      </c>
      <c r="B700" t="inlineStr">
        <is>
          <t>CUST-0229</t>
        </is>
      </c>
      <c r="C700" s="3" t="n">
        <v>46179</v>
      </c>
      <c r="D700" s="3" t="n">
        <v>46186</v>
      </c>
      <c r="E700" s="3" t="n">
        <v>46189</v>
      </c>
      <c r="F700" t="inlineStr">
        <is>
          <t>Jaipur</t>
        </is>
      </c>
      <c r="G700" t="inlineStr">
        <is>
          <t>Jaipur</t>
        </is>
      </c>
      <c r="H700" t="inlineStr">
        <is>
          <t>FedEx</t>
        </is>
      </c>
      <c r="I700" t="inlineStr">
        <is>
          <t>Truck</t>
        </is>
      </c>
      <c r="J700" t="inlineStr">
        <is>
          <t>High</t>
        </is>
      </c>
      <c r="K700" t="inlineStr">
        <is>
          <t>Delivered</t>
        </is>
      </c>
      <c r="L700" t="n">
        <v>2397.66</v>
      </c>
      <c r="M700" t="n">
        <v>1646</v>
      </c>
      <c r="N700" t="n">
        <v>24.9</v>
      </c>
      <c r="O700" t="n">
        <v>8260.24</v>
      </c>
      <c r="P700" t="n">
        <v>1458.57</v>
      </c>
      <c r="Q700">
        <f>ROUND(L700*M700*N700/1000+O700+P700,2)</f>
        <v/>
      </c>
      <c r="R700" t="inlineStr">
        <is>
          <t>No</t>
        </is>
      </c>
      <c r="S700">
        <f>IF(OR(E700="",D700=""),"",MAX(0,E700-D700))</f>
        <v/>
      </c>
      <c r="T700" t="inlineStr">
        <is>
          <t>Yes</t>
        </is>
      </c>
      <c r="U700" t="n">
        <v>10</v>
      </c>
      <c r="V700" t="inlineStr">
        <is>
          <t>COD</t>
        </is>
      </c>
      <c r="W700" t="n">
        <v>5</v>
      </c>
      <c r="X700" t="inlineStr">
        <is>
          <t>Damaged Package</t>
        </is>
      </c>
    </row>
    <row r="701">
      <c r="A701" t="inlineStr">
        <is>
          <t>ORD-2026-00700</t>
        </is>
      </c>
      <c r="B701" t="inlineStr">
        <is>
          <t>CUST-0042</t>
        </is>
      </c>
      <c r="C701" s="3" t="n">
        <v>46102</v>
      </c>
      <c r="D701" s="3" t="n">
        <v>46106</v>
      </c>
      <c r="E701" s="3" t="n">
        <v>46111</v>
      </c>
      <c r="F701" t="inlineStr">
        <is>
          <t>Bengaluru</t>
        </is>
      </c>
      <c r="G701" t="inlineStr">
        <is>
          <t>Chennai</t>
        </is>
      </c>
      <c r="H701" t="inlineStr">
        <is>
          <t>Aramex</t>
        </is>
      </c>
      <c r="I701" t="inlineStr">
        <is>
          <t>Truck</t>
        </is>
      </c>
      <c r="J701" t="inlineStr">
        <is>
          <t>Critical</t>
        </is>
      </c>
      <c r="K701" t="inlineStr">
        <is>
          <t>Delivered</t>
        </is>
      </c>
      <c r="L701" t="n">
        <v>2398.21</v>
      </c>
      <c r="M701" t="n">
        <v>247</v>
      </c>
      <c r="N701" t="n">
        <v>51.04</v>
      </c>
      <c r="O701" t="n">
        <v>1161.53</v>
      </c>
      <c r="P701" t="n">
        <v>731.78</v>
      </c>
      <c r="Q701">
        <f>ROUND(L701*M701*N701/1000+O701+P701,2)</f>
        <v/>
      </c>
      <c r="R701" t="inlineStr">
        <is>
          <t>No</t>
        </is>
      </c>
      <c r="S701">
        <f>IF(OR(E701="",D701=""),"",MAX(0,E701-D701))</f>
        <v/>
      </c>
      <c r="T701" t="inlineStr">
        <is>
          <t>No</t>
        </is>
      </c>
      <c r="U701" t="n">
        <v>76</v>
      </c>
      <c r="V701" t="inlineStr">
        <is>
          <t>Pending</t>
        </is>
      </c>
      <c r="W701" t="n">
        <v>2</v>
      </c>
      <c r="X701" t="inlineStr">
        <is>
          <t>Customer Unavailable</t>
        </is>
      </c>
    </row>
    <row r="702">
      <c r="A702" t="inlineStr">
        <is>
          <t>ORD-2026-00701</t>
        </is>
      </c>
      <c r="B702" t="inlineStr">
        <is>
          <t>CUST-0039</t>
        </is>
      </c>
      <c r="C702" s="3" t="n">
        <v>46112</v>
      </c>
      <c r="D702" s="3" t="n">
        <v>46114</v>
      </c>
      <c r="E702" s="3" t="n">
        <v>46114</v>
      </c>
      <c r="F702" t="inlineStr">
        <is>
          <t>Bengaluru</t>
        </is>
      </c>
      <c r="G702" t="inlineStr">
        <is>
          <t>Jaipur</t>
        </is>
      </c>
      <c r="H702" t="inlineStr">
        <is>
          <t>DHL</t>
        </is>
      </c>
      <c r="I702" t="inlineStr">
        <is>
          <t>Refrigerated Truck</t>
        </is>
      </c>
      <c r="J702" t="inlineStr">
        <is>
          <t>High</t>
        </is>
      </c>
      <c r="K702" t="inlineStr">
        <is>
          <t>Delivered</t>
        </is>
      </c>
      <c r="L702" t="n">
        <v>351.53</v>
      </c>
      <c r="M702" t="n">
        <v>1649</v>
      </c>
      <c r="N702" t="n">
        <v>15.04</v>
      </c>
      <c r="O702" t="n">
        <v>648.46</v>
      </c>
      <c r="P702" t="n">
        <v>1417.62</v>
      </c>
      <c r="Q702">
        <f>ROUND(L702*M702*N702/1000+O702+P702,2)</f>
        <v/>
      </c>
      <c r="R702" t="inlineStr">
        <is>
          <t>Yes</t>
        </is>
      </c>
      <c r="S702">
        <f>IF(OR(E702="",D702=""),"",MAX(0,E702-D702))</f>
        <v/>
      </c>
      <c r="T702" t="inlineStr">
        <is>
          <t>Yes</t>
        </is>
      </c>
      <c r="U702" t="n">
        <v>16</v>
      </c>
      <c r="V702" t="inlineStr">
        <is>
          <t>COD</t>
        </is>
      </c>
      <c r="W702" t="n">
        <v>5</v>
      </c>
      <c r="X702" t="inlineStr">
        <is>
          <t>None</t>
        </is>
      </c>
    </row>
    <row r="703">
      <c r="A703" t="inlineStr">
        <is>
          <t>ORD-2026-00702</t>
        </is>
      </c>
      <c r="B703" t="inlineStr">
        <is>
          <t>CUST-0194</t>
        </is>
      </c>
      <c r="C703" s="3" t="n">
        <v>46220</v>
      </c>
      <c r="D703" s="3" t="n">
        <v>46228</v>
      </c>
      <c r="E703" s="3" t="n">
        <v>46228</v>
      </c>
      <c r="F703" t="inlineStr">
        <is>
          <t>Hyderabad</t>
        </is>
      </c>
      <c r="G703" t="inlineStr">
        <is>
          <t>Pune</t>
        </is>
      </c>
      <c r="H703" t="inlineStr">
        <is>
          <t>BlueDart</t>
        </is>
      </c>
      <c r="I703" t="inlineStr">
        <is>
          <t>Container</t>
        </is>
      </c>
      <c r="J703" t="inlineStr">
        <is>
          <t>High</t>
        </is>
      </c>
      <c r="K703" t="inlineStr">
        <is>
          <t>Delivered</t>
        </is>
      </c>
      <c r="L703" t="n">
        <v>2055.69</v>
      </c>
      <c r="M703" t="n">
        <v>2221</v>
      </c>
      <c r="N703" t="n">
        <v>50.35</v>
      </c>
      <c r="O703" t="n">
        <v>13163.53</v>
      </c>
      <c r="P703" t="n">
        <v>124.2</v>
      </c>
      <c r="Q703">
        <f>ROUND(L703*M703*N703/1000+O703+P703,2)</f>
        <v/>
      </c>
      <c r="R703" t="inlineStr">
        <is>
          <t>Yes</t>
        </is>
      </c>
      <c r="S703">
        <f>IF(OR(E703="",D703=""),"",MAX(0,E703-D703))</f>
        <v/>
      </c>
      <c r="T703" t="inlineStr">
        <is>
          <t>Yes</t>
        </is>
      </c>
      <c r="U703" t="n">
        <v>60</v>
      </c>
      <c r="V703" t="inlineStr">
        <is>
          <t>Failed</t>
        </is>
      </c>
      <c r="W703" t="n">
        <v>5</v>
      </c>
      <c r="X703" t="inlineStr">
        <is>
          <t>Address Error</t>
        </is>
      </c>
    </row>
    <row r="704">
      <c r="A704" t="inlineStr">
        <is>
          <t>ORD-2026-00703</t>
        </is>
      </c>
      <c r="B704" t="inlineStr">
        <is>
          <t>CUST-0218</t>
        </is>
      </c>
      <c r="C704" s="3" t="n">
        <v>46204</v>
      </c>
      <c r="D704" s="3" t="n">
        <v>46212</v>
      </c>
      <c r="E704" s="3" t="n">
        <v>46214</v>
      </c>
      <c r="F704" t="inlineStr">
        <is>
          <t>Jaipur</t>
        </is>
      </c>
      <c r="G704" t="inlineStr">
        <is>
          <t>Chennai</t>
        </is>
      </c>
      <c r="H704" t="inlineStr">
        <is>
          <t>Delhivery</t>
        </is>
      </c>
      <c r="I704" t="inlineStr">
        <is>
          <t>Van</t>
        </is>
      </c>
      <c r="J704" t="inlineStr">
        <is>
          <t>Low</t>
        </is>
      </c>
      <c r="K704" t="inlineStr">
        <is>
          <t>Delivered</t>
        </is>
      </c>
      <c r="L704" t="n">
        <v>258.07</v>
      </c>
      <c r="M704" t="n">
        <v>2476</v>
      </c>
      <c r="N704" t="n">
        <v>62.7</v>
      </c>
      <c r="O704" t="n">
        <v>3281.46</v>
      </c>
      <c r="P704" t="n">
        <v>377.11</v>
      </c>
      <c r="Q704">
        <f>ROUND(L704*M704*N704/1000+O704+P704,2)</f>
        <v/>
      </c>
      <c r="R704" t="inlineStr">
        <is>
          <t>No</t>
        </is>
      </c>
      <c r="S704">
        <f>IF(OR(E704="",D704=""),"",MAX(0,E704-D704))</f>
        <v/>
      </c>
      <c r="T704" t="inlineStr">
        <is>
          <t>No</t>
        </is>
      </c>
      <c r="U704" t="n">
        <v>36</v>
      </c>
      <c r="V704" t="inlineStr">
        <is>
          <t>COD</t>
        </is>
      </c>
      <c r="W704" t="n">
        <v>5</v>
      </c>
      <c r="X704" t="inlineStr">
        <is>
          <t>Vehicle Breakdown</t>
        </is>
      </c>
    </row>
    <row r="705">
      <c r="A705" t="inlineStr">
        <is>
          <t>ORD-2026-00704</t>
        </is>
      </c>
      <c r="B705" t="inlineStr">
        <is>
          <t>CUST-0171</t>
        </is>
      </c>
      <c r="C705" s="3" t="n">
        <v>46130</v>
      </c>
      <c r="D705" s="3" t="n">
        <v>46135</v>
      </c>
      <c r="E705" s="3" t="n">
        <v>46145</v>
      </c>
      <c r="F705" t="inlineStr">
        <is>
          <t>Pune</t>
        </is>
      </c>
      <c r="G705" t="inlineStr">
        <is>
          <t>Mumbai</t>
        </is>
      </c>
      <c r="H705" t="inlineStr">
        <is>
          <t>Aramex</t>
        </is>
      </c>
      <c r="I705" t="inlineStr">
        <is>
          <t>Container</t>
        </is>
      </c>
      <c r="J705" t="inlineStr">
        <is>
          <t>Critical</t>
        </is>
      </c>
      <c r="K705" t="inlineStr">
        <is>
          <t>Delivered</t>
        </is>
      </c>
      <c r="L705" t="n">
        <v>253.28</v>
      </c>
      <c r="M705" t="n">
        <v>1993</v>
      </c>
      <c r="N705" t="n">
        <v>21.84</v>
      </c>
      <c r="O705" t="n">
        <v>658.15</v>
      </c>
      <c r="P705" t="n">
        <v>894.8</v>
      </c>
      <c r="Q705">
        <f>ROUND(L705*M705*N705/1000+O705+P705,2)</f>
        <v/>
      </c>
      <c r="R705" t="inlineStr">
        <is>
          <t>No</t>
        </is>
      </c>
      <c r="S705">
        <f>IF(OR(E705="",D705=""),"",MAX(0,E705-D705))</f>
        <v/>
      </c>
      <c r="T705" t="inlineStr">
        <is>
          <t>No</t>
        </is>
      </c>
      <c r="U705" t="n">
        <v>6</v>
      </c>
      <c r="V705" t="inlineStr">
        <is>
          <t>Paid</t>
        </is>
      </c>
      <c r="W705" t="n">
        <v>5</v>
      </c>
      <c r="X705" t="inlineStr">
        <is>
          <t>Customer Unavailable</t>
        </is>
      </c>
    </row>
    <row r="706">
      <c r="A706" t="inlineStr">
        <is>
          <t>ORD-2026-00705</t>
        </is>
      </c>
      <c r="B706" t="inlineStr">
        <is>
          <t>CUST-0209</t>
        </is>
      </c>
      <c r="C706" s="3" t="n">
        <v>46226</v>
      </c>
      <c r="D706" s="3" t="n">
        <v>46228</v>
      </c>
      <c r="E706" s="3" t="n">
        <v>46229</v>
      </c>
      <c r="F706" t="inlineStr">
        <is>
          <t>Chennai</t>
        </is>
      </c>
      <c r="G706" t="inlineStr">
        <is>
          <t>Ahmedabad</t>
        </is>
      </c>
      <c r="H706" t="inlineStr">
        <is>
          <t>FedEx</t>
        </is>
      </c>
      <c r="I706" t="inlineStr">
        <is>
          <t>Container</t>
        </is>
      </c>
      <c r="J706" t="inlineStr">
        <is>
          <t>Critical</t>
        </is>
      </c>
      <c r="K706" t="inlineStr">
        <is>
          <t>Delivered</t>
        </is>
      </c>
      <c r="L706" t="n">
        <v>1910.19</v>
      </c>
      <c r="M706" t="n">
        <v>1482</v>
      </c>
      <c r="N706" t="n">
        <v>41.07</v>
      </c>
      <c r="O706" t="n">
        <v>8436</v>
      </c>
      <c r="P706" t="n">
        <v>913.63</v>
      </c>
      <c r="Q706">
        <f>ROUND(L706*M706*N706/1000+O706+P706,2)</f>
        <v/>
      </c>
      <c r="R706" t="inlineStr">
        <is>
          <t>No</t>
        </is>
      </c>
      <c r="S706">
        <f>IF(OR(E706="",D706=""),"",MAX(0,E706-D706))</f>
        <v/>
      </c>
      <c r="T706" t="inlineStr">
        <is>
          <t>Yes</t>
        </is>
      </c>
      <c r="U706" t="n">
        <v>52</v>
      </c>
      <c r="V706" t="inlineStr">
        <is>
          <t>Failed</t>
        </is>
      </c>
      <c r="W706" t="n">
        <v>1</v>
      </c>
      <c r="X706" t="inlineStr">
        <is>
          <t>Address Error</t>
        </is>
      </c>
    </row>
    <row r="707">
      <c r="A707" t="inlineStr">
        <is>
          <t>ORD-2026-00706</t>
        </is>
      </c>
      <c r="B707" t="inlineStr">
        <is>
          <t>CUST-0065</t>
        </is>
      </c>
      <c r="C707" s="3" t="n">
        <v>46168</v>
      </c>
      <c r="D707" s="3" t="n">
        <v>46171</v>
      </c>
      <c r="E707" s="3" t="n">
        <v>46171</v>
      </c>
      <c r="F707" t="inlineStr">
        <is>
          <t>Hyderabad</t>
        </is>
      </c>
      <c r="G707" t="inlineStr">
        <is>
          <t>Hyderabad</t>
        </is>
      </c>
      <c r="H707" t="inlineStr">
        <is>
          <t>FedEx</t>
        </is>
      </c>
      <c r="I707" t="inlineStr">
        <is>
          <t>Truck</t>
        </is>
      </c>
      <c r="J707" t="inlineStr">
        <is>
          <t>High</t>
        </is>
      </c>
      <c r="K707" t="inlineStr">
        <is>
          <t>Delivered</t>
        </is>
      </c>
      <c r="L707" t="n">
        <v>247.46</v>
      </c>
      <c r="M707" t="n">
        <v>1693</v>
      </c>
      <c r="N707" t="n">
        <v>53.71</v>
      </c>
      <c r="O707" t="n">
        <v>1659.36</v>
      </c>
      <c r="P707" t="n">
        <v>1277.16</v>
      </c>
      <c r="Q707">
        <f>ROUND(L707*M707*N707/1000+O707+P707,2)</f>
        <v/>
      </c>
      <c r="R707" t="inlineStr">
        <is>
          <t>Yes</t>
        </is>
      </c>
      <c r="S707">
        <f>IF(OR(E707="",D707=""),"",MAX(0,E707-D707))</f>
        <v/>
      </c>
      <c r="T707" t="inlineStr">
        <is>
          <t>No</t>
        </is>
      </c>
      <c r="U707" t="n">
        <v>7</v>
      </c>
      <c r="V707" t="inlineStr">
        <is>
          <t>COD</t>
        </is>
      </c>
      <c r="W707" t="n">
        <v>4</v>
      </c>
      <c r="X707" t="inlineStr">
        <is>
          <t>Damaged Package</t>
        </is>
      </c>
    </row>
    <row r="708">
      <c r="A708" t="inlineStr">
        <is>
          <t>ORD-2026-00707</t>
        </is>
      </c>
      <c r="B708" t="inlineStr">
        <is>
          <t>CUST-0200</t>
        </is>
      </c>
      <c r="C708" s="3" t="n">
        <v>46185</v>
      </c>
      <c r="D708" s="3" t="n">
        <v>46190</v>
      </c>
      <c r="E708" s="3" t="n">
        <v>46192</v>
      </c>
      <c r="F708" t="inlineStr">
        <is>
          <t>Delhi</t>
        </is>
      </c>
      <c r="G708" t="inlineStr">
        <is>
          <t>Jaipur</t>
        </is>
      </c>
      <c r="H708" t="inlineStr">
        <is>
          <t>Aramex</t>
        </is>
      </c>
      <c r="I708" t="inlineStr">
        <is>
          <t>Van</t>
        </is>
      </c>
      <c r="J708" t="inlineStr">
        <is>
          <t>High</t>
        </is>
      </c>
      <c r="K708" t="inlineStr">
        <is>
          <t>Delivered</t>
        </is>
      </c>
      <c r="L708" t="n">
        <v>1396.42</v>
      </c>
      <c r="M708" t="n">
        <v>2246</v>
      </c>
      <c r="N708" t="n">
        <v>44.95</v>
      </c>
      <c r="O708" t="n">
        <v>10494.83</v>
      </c>
      <c r="P708" t="n">
        <v>1134.91</v>
      </c>
      <c r="Q708">
        <f>ROUND(L708*M708*N708/1000+O708+P708,2)</f>
        <v/>
      </c>
      <c r="R708" t="inlineStr">
        <is>
          <t>No</t>
        </is>
      </c>
      <c r="S708">
        <f>IF(OR(E708="",D708=""),"",MAX(0,E708-D708))</f>
        <v/>
      </c>
      <c r="T708" t="inlineStr">
        <is>
          <t>No</t>
        </is>
      </c>
      <c r="U708" t="n">
        <v>79</v>
      </c>
      <c r="V708" t="inlineStr">
        <is>
          <t>Pending</t>
        </is>
      </c>
      <c r="W708" t="n">
        <v>3</v>
      </c>
      <c r="X708" t="inlineStr">
        <is>
          <t>Customer Unavailable</t>
        </is>
      </c>
    </row>
    <row r="709">
      <c r="A709" t="inlineStr">
        <is>
          <t>ORD-2026-00708</t>
        </is>
      </c>
      <c r="B709" t="inlineStr">
        <is>
          <t>CUST-0068</t>
        </is>
      </c>
      <c r="C709" s="3" t="n">
        <v>46101</v>
      </c>
      <c r="D709" s="3" t="n">
        <v>46103</v>
      </c>
      <c r="E709" s="3" t="n">
        <v>46108</v>
      </c>
      <c r="F709" t="inlineStr">
        <is>
          <t>Jaipur</t>
        </is>
      </c>
      <c r="G709" t="inlineStr">
        <is>
          <t>Hyderabad</t>
        </is>
      </c>
      <c r="H709" t="inlineStr">
        <is>
          <t>FedEx</t>
        </is>
      </c>
      <c r="I709" t="inlineStr">
        <is>
          <t>Container</t>
        </is>
      </c>
      <c r="J709" t="inlineStr">
        <is>
          <t>High</t>
        </is>
      </c>
      <c r="K709" t="inlineStr">
        <is>
          <t>Delivered</t>
        </is>
      </c>
      <c r="L709" t="n">
        <v>1015.46</v>
      </c>
      <c r="M709" t="n">
        <v>2551</v>
      </c>
      <c r="N709" t="n">
        <v>36.34</v>
      </c>
      <c r="O709" t="n">
        <v>3875.74</v>
      </c>
      <c r="P709" t="n">
        <v>586.39</v>
      </c>
      <c r="Q709">
        <f>ROUND(L709*M709*N709/1000+O709+P709,2)</f>
        <v/>
      </c>
      <c r="R709" t="inlineStr">
        <is>
          <t>No</t>
        </is>
      </c>
      <c r="S709">
        <f>IF(OR(E709="",D709=""),"",MAX(0,E709-D709))</f>
        <v/>
      </c>
      <c r="T709" t="inlineStr">
        <is>
          <t>Yes</t>
        </is>
      </c>
      <c r="U709" t="n">
        <v>22</v>
      </c>
      <c r="V709" t="inlineStr">
        <is>
          <t>COD</t>
        </is>
      </c>
      <c r="W709" t="n">
        <v>1</v>
      </c>
      <c r="X709" t="inlineStr">
        <is>
          <t>None</t>
        </is>
      </c>
    </row>
    <row r="710">
      <c r="A710" t="inlineStr">
        <is>
          <t>ORD-2026-00709</t>
        </is>
      </c>
      <c r="B710" t="inlineStr">
        <is>
          <t>CUST-0051</t>
        </is>
      </c>
      <c r="C710" s="3" t="n">
        <v>46071</v>
      </c>
      <c r="D710" s="3" t="n">
        <v>46076</v>
      </c>
      <c r="E710" s="3" t="n">
        <v>46081</v>
      </c>
      <c r="F710" t="inlineStr">
        <is>
          <t>Mumbai</t>
        </is>
      </c>
      <c r="G710" t="inlineStr">
        <is>
          <t>Mumbai</t>
        </is>
      </c>
      <c r="H710" t="inlineStr">
        <is>
          <t>Maersk</t>
        </is>
      </c>
      <c r="I710" t="inlineStr">
        <is>
          <t>Bike</t>
        </is>
      </c>
      <c r="J710" t="inlineStr">
        <is>
          <t>Critical</t>
        </is>
      </c>
      <c r="K710" t="inlineStr">
        <is>
          <t>Delivered</t>
        </is>
      </c>
      <c r="L710" t="n">
        <v>1401.43</v>
      </c>
      <c r="M710" t="n">
        <v>2298</v>
      </c>
      <c r="N710" t="n">
        <v>38.68</v>
      </c>
      <c r="O710" t="n">
        <v>6711.53</v>
      </c>
      <c r="P710" t="n">
        <v>1049.54</v>
      </c>
      <c r="Q710">
        <f>ROUND(L710*M710*N710/1000+O710+P710,2)</f>
        <v/>
      </c>
      <c r="R710" t="inlineStr">
        <is>
          <t>No</t>
        </is>
      </c>
      <c r="S710">
        <f>IF(OR(E710="",D710=""),"",MAX(0,E710-D710))</f>
        <v/>
      </c>
      <c r="T710" t="inlineStr">
        <is>
          <t>No</t>
        </is>
      </c>
      <c r="U710" t="n">
        <v>19</v>
      </c>
      <c r="V710" t="inlineStr">
        <is>
          <t>COD</t>
        </is>
      </c>
      <c r="W710" t="n">
        <v>5</v>
      </c>
      <c r="X710" t="inlineStr">
        <is>
          <t>Vehicle Breakdown</t>
        </is>
      </c>
    </row>
    <row r="711">
      <c r="A711" t="inlineStr">
        <is>
          <t>ORD-2026-00710</t>
        </is>
      </c>
      <c r="B711" t="inlineStr">
        <is>
          <t>CUST-0058</t>
        </is>
      </c>
      <c r="C711" s="3" t="n">
        <v>46124</v>
      </c>
      <c r="D711" s="3" t="n">
        <v>46127</v>
      </c>
      <c r="E711" s="3" t="n">
        <v>46132</v>
      </c>
      <c r="F711" t="inlineStr">
        <is>
          <t>Jaipur</t>
        </is>
      </c>
      <c r="G711" t="inlineStr">
        <is>
          <t>Ahmedabad</t>
        </is>
      </c>
      <c r="H711" t="inlineStr">
        <is>
          <t>DHL</t>
        </is>
      </c>
      <c r="I711" t="inlineStr">
        <is>
          <t>Bike</t>
        </is>
      </c>
      <c r="J711" t="inlineStr">
        <is>
          <t>Normal</t>
        </is>
      </c>
      <c r="K711" t="inlineStr">
        <is>
          <t>Delivered</t>
        </is>
      </c>
      <c r="L711" t="n">
        <v>2390.21</v>
      </c>
      <c r="M711" t="n">
        <v>1208</v>
      </c>
      <c r="N711" t="n">
        <v>42.96</v>
      </c>
      <c r="O711" t="n">
        <v>10946.01</v>
      </c>
      <c r="P711" t="n">
        <v>499.28</v>
      </c>
      <c r="Q711">
        <f>ROUND(L711*M711*N711/1000+O711+P711,2)</f>
        <v/>
      </c>
      <c r="R711" t="inlineStr">
        <is>
          <t>No</t>
        </is>
      </c>
      <c r="S711">
        <f>IF(OR(E711="",D711=""),"",MAX(0,E711-D711))</f>
        <v/>
      </c>
      <c r="T711" t="inlineStr">
        <is>
          <t>No</t>
        </is>
      </c>
      <c r="U711" t="n">
        <v>4</v>
      </c>
      <c r="V711" t="inlineStr">
        <is>
          <t>Failed</t>
        </is>
      </c>
      <c r="W711" t="n">
        <v>2</v>
      </c>
      <c r="X711" t="inlineStr">
        <is>
          <t>Customer Unavailable</t>
        </is>
      </c>
    </row>
    <row r="712">
      <c r="A712" t="inlineStr">
        <is>
          <t>ORD-2026-00711</t>
        </is>
      </c>
      <c r="B712" t="inlineStr">
        <is>
          <t>CUST-0220</t>
        </is>
      </c>
      <c r="C712" s="3" t="n">
        <v>46200</v>
      </c>
      <c r="D712" s="3" t="n">
        <v>46204</v>
      </c>
      <c r="E712" s="3" t="n">
        <v>46204</v>
      </c>
      <c r="F712" t="inlineStr">
        <is>
          <t>Kolkata</t>
        </is>
      </c>
      <c r="G712" t="inlineStr">
        <is>
          <t>Jaipur</t>
        </is>
      </c>
      <c r="H712" t="inlineStr">
        <is>
          <t>Aramex</t>
        </is>
      </c>
      <c r="I712" t="inlineStr">
        <is>
          <t>Container</t>
        </is>
      </c>
      <c r="J712" t="inlineStr">
        <is>
          <t>Critical</t>
        </is>
      </c>
      <c r="K712" t="inlineStr">
        <is>
          <t>Delivered</t>
        </is>
      </c>
      <c r="L712" t="n">
        <v>1619.91</v>
      </c>
      <c r="M712" t="n">
        <v>889</v>
      </c>
      <c r="N712" t="n">
        <v>16.29</v>
      </c>
      <c r="O712" t="n">
        <v>1121.53</v>
      </c>
      <c r="P712" t="n">
        <v>1447.59</v>
      </c>
      <c r="Q712">
        <f>ROUND(L712*M712*N712/1000+O712+P712,2)</f>
        <v/>
      </c>
      <c r="R712" t="inlineStr">
        <is>
          <t>Yes</t>
        </is>
      </c>
      <c r="S712">
        <f>IF(OR(E712="",D712=""),"",MAX(0,E712-D712))</f>
        <v/>
      </c>
      <c r="T712" t="inlineStr">
        <is>
          <t>Yes</t>
        </is>
      </c>
      <c r="U712" t="n">
        <v>53</v>
      </c>
      <c r="V712" t="inlineStr">
        <is>
          <t>Pending</t>
        </is>
      </c>
      <c r="W712" t="n">
        <v>5</v>
      </c>
      <c r="X712" t="inlineStr">
        <is>
          <t>Customs</t>
        </is>
      </c>
    </row>
    <row r="713">
      <c r="A713" t="inlineStr">
        <is>
          <t>ORD-2026-00712</t>
        </is>
      </c>
      <c r="B713" t="inlineStr">
        <is>
          <t>CUST-0061</t>
        </is>
      </c>
      <c r="C713" s="3" t="n">
        <v>46125</v>
      </c>
      <c r="D713" s="3" t="n">
        <v>46132</v>
      </c>
      <c r="E713" s="3" t="n">
        <v>46134</v>
      </c>
      <c r="F713" t="inlineStr">
        <is>
          <t>Hyderabad</t>
        </is>
      </c>
      <c r="G713" t="inlineStr">
        <is>
          <t>Surat</t>
        </is>
      </c>
      <c r="H713" t="inlineStr">
        <is>
          <t>FedEx</t>
        </is>
      </c>
      <c r="I713" t="inlineStr">
        <is>
          <t>Van</t>
        </is>
      </c>
      <c r="J713" t="inlineStr">
        <is>
          <t>Normal</t>
        </is>
      </c>
      <c r="K713" t="inlineStr">
        <is>
          <t>Delivered</t>
        </is>
      </c>
      <c r="L713" t="n">
        <v>2454.8</v>
      </c>
      <c r="M713" t="n">
        <v>1084</v>
      </c>
      <c r="N713" t="n">
        <v>32.58</v>
      </c>
      <c r="O713" t="n">
        <v>4496.97</v>
      </c>
      <c r="P713" t="n">
        <v>1389.75</v>
      </c>
      <c r="Q713">
        <f>ROUND(L713*M713*N713/1000+O713+P713,2)</f>
        <v/>
      </c>
      <c r="R713" t="inlineStr">
        <is>
          <t>No</t>
        </is>
      </c>
      <c r="S713">
        <f>IF(OR(E713="",D713=""),"",MAX(0,E713-D713))</f>
        <v/>
      </c>
      <c r="T713" t="inlineStr">
        <is>
          <t>No</t>
        </is>
      </c>
      <c r="U713" t="n">
        <v>32</v>
      </c>
      <c r="V713" t="inlineStr">
        <is>
          <t>Pending</t>
        </is>
      </c>
      <c r="W713" t="n">
        <v>1</v>
      </c>
      <c r="X713" t="inlineStr">
        <is>
          <t>Customer Unavailable</t>
        </is>
      </c>
    </row>
    <row r="714">
      <c r="A714" t="inlineStr">
        <is>
          <t>ORD-2026-00713</t>
        </is>
      </c>
      <c r="B714" t="inlineStr">
        <is>
          <t>CUST-0142</t>
        </is>
      </c>
      <c r="C714" s="3" t="n">
        <v>46152</v>
      </c>
      <c r="D714" s="3" t="n">
        <v>46160</v>
      </c>
      <c r="E714" s="3" t="n">
        <v>46160</v>
      </c>
      <c r="F714" t="inlineStr">
        <is>
          <t>Bengaluru</t>
        </is>
      </c>
      <c r="G714" t="inlineStr">
        <is>
          <t>Jaipur</t>
        </is>
      </c>
      <c r="H714" t="inlineStr">
        <is>
          <t>FedEx</t>
        </is>
      </c>
      <c r="I714" t="inlineStr">
        <is>
          <t>Bike</t>
        </is>
      </c>
      <c r="J714" t="inlineStr">
        <is>
          <t>Low</t>
        </is>
      </c>
      <c r="K714" t="inlineStr">
        <is>
          <t>Delivered</t>
        </is>
      </c>
      <c r="L714" t="n">
        <v>2065.82</v>
      </c>
      <c r="M714" t="n">
        <v>938</v>
      </c>
      <c r="N714" t="n">
        <v>49.05</v>
      </c>
      <c r="O714" t="n">
        <v>6943.49</v>
      </c>
      <c r="P714" t="n">
        <v>974.55</v>
      </c>
      <c r="Q714">
        <f>ROUND(L714*M714*N714/1000+O714+P714,2)</f>
        <v/>
      </c>
      <c r="R714" t="inlineStr">
        <is>
          <t>Yes</t>
        </is>
      </c>
      <c r="S714">
        <f>IF(OR(E714="",D714=""),"",MAX(0,E714-D714))</f>
        <v/>
      </c>
      <c r="T714" t="inlineStr">
        <is>
          <t>No</t>
        </is>
      </c>
      <c r="U714" t="n">
        <v>80</v>
      </c>
      <c r="V714" t="inlineStr">
        <is>
          <t>Failed</t>
        </is>
      </c>
      <c r="W714" t="n">
        <v>4</v>
      </c>
      <c r="X714" t="inlineStr">
        <is>
          <t>Customs</t>
        </is>
      </c>
    </row>
    <row r="715">
      <c r="A715" t="inlineStr">
        <is>
          <t>ORD-2026-00714</t>
        </is>
      </c>
      <c r="B715" t="inlineStr">
        <is>
          <t>CUST-0181</t>
        </is>
      </c>
      <c r="C715" s="3" t="n">
        <v>46134</v>
      </c>
      <c r="D715" s="3" t="n">
        <v>46136</v>
      </c>
      <c r="E715" s="3" t="n">
        <v>46141</v>
      </c>
      <c r="F715" t="inlineStr">
        <is>
          <t>Delhi</t>
        </is>
      </c>
      <c r="G715" t="inlineStr">
        <is>
          <t>Mumbai</t>
        </is>
      </c>
      <c r="H715" t="inlineStr">
        <is>
          <t>Maersk</t>
        </is>
      </c>
      <c r="I715" t="inlineStr">
        <is>
          <t>Refrigerated Truck</t>
        </is>
      </c>
      <c r="J715" t="inlineStr">
        <is>
          <t>Low</t>
        </is>
      </c>
      <c r="K715" t="inlineStr">
        <is>
          <t>Delivered</t>
        </is>
      </c>
      <c r="L715" t="n">
        <v>1400.12</v>
      </c>
      <c r="M715" t="n">
        <v>2294</v>
      </c>
      <c r="N715" t="n">
        <v>45.07</v>
      </c>
      <c r="O715" t="n">
        <v>12123.66</v>
      </c>
      <c r="P715" t="n">
        <v>725.41</v>
      </c>
      <c r="Q715">
        <f>ROUND(L715*M715*N715/1000+O715+P715,2)</f>
        <v/>
      </c>
      <c r="R715" t="inlineStr">
        <is>
          <t>No</t>
        </is>
      </c>
      <c r="S715">
        <f>IF(OR(E715="",D715=""),"",MAX(0,E715-D715))</f>
        <v/>
      </c>
      <c r="T715" t="inlineStr">
        <is>
          <t>No</t>
        </is>
      </c>
      <c r="U715" t="n">
        <v>73</v>
      </c>
      <c r="V715" t="inlineStr">
        <is>
          <t>COD</t>
        </is>
      </c>
      <c r="W715" t="n">
        <v>1</v>
      </c>
      <c r="X715" t="inlineStr">
        <is>
          <t>Damaged Package</t>
        </is>
      </c>
    </row>
    <row r="716">
      <c r="A716" t="inlineStr">
        <is>
          <t>ORD-2026-00715</t>
        </is>
      </c>
      <c r="B716" t="inlineStr">
        <is>
          <t>CUST-0173</t>
        </is>
      </c>
      <c r="C716" s="3" t="n">
        <v>46176</v>
      </c>
      <c r="D716" s="3" t="n">
        <v>46184</v>
      </c>
      <c r="E716" s="3" t="n">
        <v>46184</v>
      </c>
      <c r="F716" t="inlineStr">
        <is>
          <t>Pune</t>
        </is>
      </c>
      <c r="G716" t="inlineStr">
        <is>
          <t>Hyderabad</t>
        </is>
      </c>
      <c r="H716" t="inlineStr">
        <is>
          <t>DHL</t>
        </is>
      </c>
      <c r="I716" t="inlineStr">
        <is>
          <t>Bike</t>
        </is>
      </c>
      <c r="J716" t="inlineStr">
        <is>
          <t>Critical</t>
        </is>
      </c>
      <c r="K716" t="inlineStr">
        <is>
          <t>Delivered</t>
        </is>
      </c>
      <c r="L716" t="n">
        <v>333.83</v>
      </c>
      <c r="M716" t="n">
        <v>1628</v>
      </c>
      <c r="N716" t="n">
        <v>20.27</v>
      </c>
      <c r="O716" t="n">
        <v>629.3200000000001</v>
      </c>
      <c r="P716" t="n">
        <v>816.83</v>
      </c>
      <c r="Q716">
        <f>ROUND(L716*M716*N716/1000+O716+P716,2)</f>
        <v/>
      </c>
      <c r="R716" t="inlineStr">
        <is>
          <t>Yes</t>
        </is>
      </c>
      <c r="S716">
        <f>IF(OR(E716="",D716=""),"",MAX(0,E716-D716))</f>
        <v/>
      </c>
      <c r="T716" t="inlineStr">
        <is>
          <t>Yes</t>
        </is>
      </c>
      <c r="U716" t="n">
        <v>70</v>
      </c>
      <c r="V716" t="inlineStr">
        <is>
          <t>COD</t>
        </is>
      </c>
      <c r="W716" t="n">
        <v>1</v>
      </c>
      <c r="X716" t="inlineStr">
        <is>
          <t>Customs</t>
        </is>
      </c>
    </row>
    <row r="717">
      <c r="A717" t="inlineStr">
        <is>
          <t>ORD-2026-00716</t>
        </is>
      </c>
      <c r="B717" t="inlineStr">
        <is>
          <t>CUST-0064</t>
        </is>
      </c>
      <c r="C717" s="3" t="n">
        <v>46036</v>
      </c>
      <c r="D717" s="3" t="n">
        <v>46042</v>
      </c>
      <c r="E717" s="3" t="n">
        <v>46043</v>
      </c>
      <c r="F717" t="inlineStr">
        <is>
          <t>Kolkata</t>
        </is>
      </c>
      <c r="G717" t="inlineStr">
        <is>
          <t>Delhi</t>
        </is>
      </c>
      <c r="H717" t="inlineStr">
        <is>
          <t>Aramex</t>
        </is>
      </c>
      <c r="I717" t="inlineStr">
        <is>
          <t>Truck</t>
        </is>
      </c>
      <c r="J717" t="inlineStr">
        <is>
          <t>Low</t>
        </is>
      </c>
      <c r="K717" t="inlineStr">
        <is>
          <t>Delivered</t>
        </is>
      </c>
      <c r="L717" t="n">
        <v>178</v>
      </c>
      <c r="M717" t="n">
        <v>265</v>
      </c>
      <c r="N717" t="n">
        <v>38.2</v>
      </c>
      <c r="O717" t="n">
        <v>133.02</v>
      </c>
      <c r="P717" t="n">
        <v>1104.18</v>
      </c>
      <c r="Q717">
        <f>ROUND(L717*M717*N717/1000+O717+P717,2)</f>
        <v/>
      </c>
      <c r="R717" t="inlineStr">
        <is>
          <t>No</t>
        </is>
      </c>
      <c r="S717">
        <f>IF(OR(E717="",D717=""),"",MAX(0,E717-D717))</f>
        <v/>
      </c>
      <c r="T717" t="inlineStr">
        <is>
          <t>No</t>
        </is>
      </c>
      <c r="U717" t="n">
        <v>16</v>
      </c>
      <c r="V717" t="inlineStr">
        <is>
          <t>COD</t>
        </is>
      </c>
      <c r="W717" t="n">
        <v>1</v>
      </c>
      <c r="X717" t="inlineStr">
        <is>
          <t>None</t>
        </is>
      </c>
    </row>
    <row r="718">
      <c r="A718" t="inlineStr">
        <is>
          <t>ORD-2026-00717</t>
        </is>
      </c>
      <c r="B718" t="inlineStr">
        <is>
          <t>CUST-0111</t>
        </is>
      </c>
      <c r="C718" s="3" t="n">
        <v>46126</v>
      </c>
      <c r="D718" s="3" t="n">
        <v>46133</v>
      </c>
      <c r="E718" s="3" t="n">
        <v>46135</v>
      </c>
      <c r="F718" t="inlineStr">
        <is>
          <t>Pune</t>
        </is>
      </c>
      <c r="G718" t="inlineStr">
        <is>
          <t>Jaipur</t>
        </is>
      </c>
      <c r="H718" t="inlineStr">
        <is>
          <t>BlueDart</t>
        </is>
      </c>
      <c r="I718" t="inlineStr">
        <is>
          <t>Truck</t>
        </is>
      </c>
      <c r="J718" t="inlineStr">
        <is>
          <t>High</t>
        </is>
      </c>
      <c r="K718" t="inlineStr">
        <is>
          <t>Delivered</t>
        </is>
      </c>
      <c r="L718" t="n">
        <v>1186.28</v>
      </c>
      <c r="M718" t="n">
        <v>1411</v>
      </c>
      <c r="N718" t="n">
        <v>18.43</v>
      </c>
      <c r="O718" t="n">
        <v>1501.47</v>
      </c>
      <c r="P718" t="n">
        <v>282.57</v>
      </c>
      <c r="Q718">
        <f>ROUND(L718*M718*N718/1000+O718+P718,2)</f>
        <v/>
      </c>
      <c r="R718" t="inlineStr">
        <is>
          <t>No</t>
        </is>
      </c>
      <c r="S718">
        <f>IF(OR(E718="",D718=""),"",MAX(0,E718-D718))</f>
        <v/>
      </c>
      <c r="T718" t="inlineStr">
        <is>
          <t>No</t>
        </is>
      </c>
      <c r="U718" t="n">
        <v>26</v>
      </c>
      <c r="V718" t="inlineStr">
        <is>
          <t>Pending</t>
        </is>
      </c>
      <c r="W718" t="n">
        <v>3</v>
      </c>
      <c r="X718" t="inlineStr">
        <is>
          <t>Damaged Package</t>
        </is>
      </c>
    </row>
    <row r="719">
      <c r="A719" t="inlineStr">
        <is>
          <t>ORD-2026-00718</t>
        </is>
      </c>
      <c r="B719" t="inlineStr">
        <is>
          <t>CUST-0175</t>
        </is>
      </c>
      <c r="C719" s="3" t="n">
        <v>46185</v>
      </c>
      <c r="D719" s="3" t="n">
        <v>46187</v>
      </c>
      <c r="E719" s="3" t="n">
        <v>46187</v>
      </c>
      <c r="F719" t="inlineStr">
        <is>
          <t>Hyderabad</t>
        </is>
      </c>
      <c r="G719" t="inlineStr">
        <is>
          <t>Mumbai</t>
        </is>
      </c>
      <c r="H719" t="inlineStr">
        <is>
          <t>DHL</t>
        </is>
      </c>
      <c r="I719" t="inlineStr">
        <is>
          <t>Van</t>
        </is>
      </c>
      <c r="J719" t="inlineStr">
        <is>
          <t>Low</t>
        </is>
      </c>
      <c r="K719" t="inlineStr">
        <is>
          <t>Delivered</t>
        </is>
      </c>
      <c r="L719" t="n">
        <v>1309.91</v>
      </c>
      <c r="M719" t="n">
        <v>88</v>
      </c>
      <c r="N719" t="n">
        <v>58.12</v>
      </c>
      <c r="O719" t="n">
        <v>225.47</v>
      </c>
      <c r="P719" t="n">
        <v>844.55</v>
      </c>
      <c r="Q719">
        <f>ROUND(L719*M719*N719/1000+O719+P719,2)</f>
        <v/>
      </c>
      <c r="R719" t="inlineStr">
        <is>
          <t>Yes</t>
        </is>
      </c>
      <c r="S719">
        <f>IF(OR(E719="",D719=""),"",MAX(0,E719-D719))</f>
        <v/>
      </c>
      <c r="T719" t="inlineStr">
        <is>
          <t>Yes</t>
        </is>
      </c>
      <c r="U719" t="n">
        <v>42</v>
      </c>
      <c r="V719" t="inlineStr">
        <is>
          <t>Failed</t>
        </is>
      </c>
      <c r="W719" t="n">
        <v>3</v>
      </c>
      <c r="X719" t="inlineStr">
        <is>
          <t>None</t>
        </is>
      </c>
    </row>
    <row r="720">
      <c r="A720" t="inlineStr">
        <is>
          <t>ORD-2026-00719</t>
        </is>
      </c>
      <c r="B720" t="inlineStr">
        <is>
          <t>CUST-0025</t>
        </is>
      </c>
      <c r="C720" s="3" t="n">
        <v>46227</v>
      </c>
      <c r="D720" s="3" t="n">
        <v>46233</v>
      </c>
      <c r="E720" s="3" t="n">
        <v>46236</v>
      </c>
      <c r="F720" t="inlineStr">
        <is>
          <t>Delhi</t>
        </is>
      </c>
      <c r="G720" t="inlineStr">
        <is>
          <t>Kolkata</t>
        </is>
      </c>
      <c r="H720" t="inlineStr">
        <is>
          <t>FedEx</t>
        </is>
      </c>
      <c r="I720" t="inlineStr">
        <is>
          <t>Bike</t>
        </is>
      </c>
      <c r="J720" t="inlineStr">
        <is>
          <t>Normal</t>
        </is>
      </c>
      <c r="K720" t="inlineStr">
        <is>
          <t>Delivered</t>
        </is>
      </c>
      <c r="L720" t="n">
        <v>471.61</v>
      </c>
      <c r="M720" t="n">
        <v>2548</v>
      </c>
      <c r="N720" t="n">
        <v>36.4</v>
      </c>
      <c r="O720" t="n">
        <v>2716.85</v>
      </c>
      <c r="P720" t="n">
        <v>1464.15</v>
      </c>
      <c r="Q720">
        <f>ROUND(L720*M720*N720/1000+O720+P720,2)</f>
        <v/>
      </c>
      <c r="R720" t="inlineStr">
        <is>
          <t>No</t>
        </is>
      </c>
      <c r="S720">
        <f>IF(OR(E720="",D720=""),"",MAX(0,E720-D720))</f>
        <v/>
      </c>
      <c r="T720" t="inlineStr">
        <is>
          <t>No</t>
        </is>
      </c>
      <c r="U720" t="n">
        <v>23</v>
      </c>
      <c r="V720" t="inlineStr">
        <is>
          <t>Pending</t>
        </is>
      </c>
      <c r="W720" t="n">
        <v>4</v>
      </c>
      <c r="X720" t="inlineStr">
        <is>
          <t>None</t>
        </is>
      </c>
    </row>
    <row r="721">
      <c r="A721" t="inlineStr">
        <is>
          <t>ORD-2026-00720</t>
        </is>
      </c>
      <c r="B721" t="inlineStr">
        <is>
          <t>CUST-0090</t>
        </is>
      </c>
      <c r="C721" s="3" t="n">
        <v>46182</v>
      </c>
      <c r="D721" s="3" t="n">
        <v>46183</v>
      </c>
      <c r="E721" s="3" t="n">
        <v>46188</v>
      </c>
      <c r="F721" t="inlineStr">
        <is>
          <t>Delhi</t>
        </is>
      </c>
      <c r="G721" t="inlineStr">
        <is>
          <t>Kolkata</t>
        </is>
      </c>
      <c r="H721" t="inlineStr">
        <is>
          <t>DTDC</t>
        </is>
      </c>
      <c r="I721" t="inlineStr">
        <is>
          <t>Truck</t>
        </is>
      </c>
      <c r="J721" t="inlineStr">
        <is>
          <t>Low</t>
        </is>
      </c>
      <c r="K721" t="inlineStr">
        <is>
          <t>Delivered</t>
        </is>
      </c>
      <c r="L721" t="n">
        <v>1984.22</v>
      </c>
      <c r="M721" t="n">
        <v>497</v>
      </c>
      <c r="N721" t="n">
        <v>54.01</v>
      </c>
      <c r="O721" t="n">
        <v>2593.87</v>
      </c>
      <c r="P721" t="n">
        <v>451.32</v>
      </c>
      <c r="Q721">
        <f>ROUND(L721*M721*N721/1000+O721+P721,2)</f>
        <v/>
      </c>
      <c r="R721" t="inlineStr">
        <is>
          <t>No</t>
        </is>
      </c>
      <c r="S721">
        <f>IF(OR(E721="",D721=""),"",MAX(0,E721-D721))</f>
        <v/>
      </c>
      <c r="T721" t="inlineStr">
        <is>
          <t>No</t>
        </is>
      </c>
      <c r="U721" t="n">
        <v>25</v>
      </c>
      <c r="V721" t="inlineStr">
        <is>
          <t>Pending</t>
        </is>
      </c>
      <c r="W721" t="n">
        <v>5</v>
      </c>
      <c r="X721" t="inlineStr">
        <is>
          <t>Vehicle Breakdown</t>
        </is>
      </c>
    </row>
    <row r="722">
      <c r="A722" t="inlineStr">
        <is>
          <t>ORD-2026-00721</t>
        </is>
      </c>
      <c r="B722" t="inlineStr">
        <is>
          <t>CUST-0210</t>
        </is>
      </c>
      <c r="C722" s="3" t="n">
        <v>46139</v>
      </c>
      <c r="D722" s="3" t="n">
        <v>46146</v>
      </c>
      <c r="E722" s="3" t="n">
        <v>46148</v>
      </c>
      <c r="F722" t="inlineStr">
        <is>
          <t>Jaipur</t>
        </is>
      </c>
      <c r="G722" t="inlineStr">
        <is>
          <t>Bengaluru</t>
        </is>
      </c>
      <c r="H722" t="inlineStr">
        <is>
          <t>Aramex</t>
        </is>
      </c>
      <c r="I722" t="inlineStr">
        <is>
          <t>Container</t>
        </is>
      </c>
      <c r="J722" t="inlineStr">
        <is>
          <t>Low</t>
        </is>
      </c>
      <c r="K722" t="inlineStr">
        <is>
          <t>Delivered</t>
        </is>
      </c>
      <c r="L722" t="n">
        <v>1671.93</v>
      </c>
      <c r="M722" t="n">
        <v>273</v>
      </c>
      <c r="N722" t="n">
        <v>27.29</v>
      </c>
      <c r="O722" t="n">
        <v>646.99</v>
      </c>
      <c r="P722" t="n">
        <v>374.39</v>
      </c>
      <c r="Q722">
        <f>ROUND(L722*M722*N722/1000+O722+P722,2)</f>
        <v/>
      </c>
      <c r="R722" t="inlineStr">
        <is>
          <t>No</t>
        </is>
      </c>
      <c r="S722">
        <f>IF(OR(E722="",D722=""),"",MAX(0,E722-D722))</f>
        <v/>
      </c>
      <c r="T722" t="inlineStr">
        <is>
          <t>No</t>
        </is>
      </c>
      <c r="U722" t="n">
        <v>8</v>
      </c>
      <c r="V722" t="inlineStr">
        <is>
          <t>Failed</t>
        </is>
      </c>
      <c r="W722" t="n">
        <v>5</v>
      </c>
      <c r="X722" t="inlineStr">
        <is>
          <t>None</t>
        </is>
      </c>
    </row>
    <row r="723">
      <c r="A723" t="inlineStr">
        <is>
          <t>ORD-2026-00722</t>
        </is>
      </c>
      <c r="B723" t="inlineStr">
        <is>
          <t>CUST-0165</t>
        </is>
      </c>
      <c r="C723" s="3" t="n">
        <v>46240</v>
      </c>
      <c r="D723" s="3" t="n">
        <v>46242</v>
      </c>
      <c r="E723" s="3" t="n">
        <v>46243</v>
      </c>
      <c r="F723" t="inlineStr">
        <is>
          <t>Bengaluru</t>
        </is>
      </c>
      <c r="G723" t="inlineStr">
        <is>
          <t>Pune</t>
        </is>
      </c>
      <c r="H723" t="inlineStr">
        <is>
          <t>FedEx</t>
        </is>
      </c>
      <c r="I723" t="inlineStr">
        <is>
          <t>Truck</t>
        </is>
      </c>
      <c r="J723" t="inlineStr">
        <is>
          <t>Critical</t>
        </is>
      </c>
      <c r="K723" t="inlineStr">
        <is>
          <t>Delivered</t>
        </is>
      </c>
      <c r="L723" t="n">
        <v>1318.58</v>
      </c>
      <c r="M723" t="n">
        <v>2360</v>
      </c>
      <c r="N723" t="n">
        <v>48.03</v>
      </c>
      <c r="O723" t="n">
        <v>9162.08</v>
      </c>
      <c r="P723" t="n">
        <v>1140.25</v>
      </c>
      <c r="Q723">
        <f>ROUND(L723*M723*N723/1000+O723+P723,2)</f>
        <v/>
      </c>
      <c r="R723" t="inlineStr">
        <is>
          <t>No</t>
        </is>
      </c>
      <c r="S723">
        <f>IF(OR(E723="",D723=""),"",MAX(0,E723-D723))</f>
        <v/>
      </c>
      <c r="T723" t="inlineStr">
        <is>
          <t>Yes</t>
        </is>
      </c>
      <c r="U723" t="n">
        <v>38</v>
      </c>
      <c r="V723" t="inlineStr">
        <is>
          <t>Failed</t>
        </is>
      </c>
      <c r="W723" t="n">
        <v>4</v>
      </c>
      <c r="X723" t="inlineStr">
        <is>
          <t>Weather</t>
        </is>
      </c>
    </row>
    <row r="724">
      <c r="A724" t="inlineStr">
        <is>
          <t>ORD-2026-00723</t>
        </is>
      </c>
      <c r="B724" t="inlineStr">
        <is>
          <t>CUST-0198</t>
        </is>
      </c>
      <c r="C724" s="3" t="n">
        <v>46119</v>
      </c>
      <c r="D724" s="3" t="n">
        <v>46121</v>
      </c>
      <c r="E724" s="3" t="n">
        <v>46121</v>
      </c>
      <c r="F724" t="inlineStr">
        <is>
          <t>Pune</t>
        </is>
      </c>
      <c r="G724" t="inlineStr">
        <is>
          <t>Ahmedabad</t>
        </is>
      </c>
      <c r="H724" t="inlineStr">
        <is>
          <t>DTDC</t>
        </is>
      </c>
      <c r="I724" t="inlineStr">
        <is>
          <t>Van</t>
        </is>
      </c>
      <c r="J724" t="inlineStr">
        <is>
          <t>Normal</t>
        </is>
      </c>
      <c r="K724" t="inlineStr">
        <is>
          <t>Delivered</t>
        </is>
      </c>
      <c r="L724" t="n">
        <v>804.13</v>
      </c>
      <c r="M724" t="n">
        <v>1987</v>
      </c>
      <c r="N724" t="n">
        <v>42.75</v>
      </c>
      <c r="O724" t="n">
        <v>3302.87</v>
      </c>
      <c r="P724" t="n">
        <v>1488.59</v>
      </c>
      <c r="Q724">
        <f>ROUND(L724*M724*N724/1000+O724+P724,2)</f>
        <v/>
      </c>
      <c r="R724" t="inlineStr">
        <is>
          <t>Yes</t>
        </is>
      </c>
      <c r="S724">
        <f>IF(OR(E724="",D724=""),"",MAX(0,E724-D724))</f>
        <v/>
      </c>
      <c r="T724" t="inlineStr">
        <is>
          <t>Yes</t>
        </is>
      </c>
      <c r="U724" t="n">
        <v>40</v>
      </c>
      <c r="V724" t="inlineStr">
        <is>
          <t>Pending</t>
        </is>
      </c>
      <c r="W724" t="n">
        <v>3</v>
      </c>
      <c r="X724" t="inlineStr">
        <is>
          <t>Damaged Package</t>
        </is>
      </c>
    </row>
    <row r="725">
      <c r="A725" t="inlineStr">
        <is>
          <t>ORD-2026-00724</t>
        </is>
      </c>
      <c r="B725" t="inlineStr">
        <is>
          <t>CUST-0190</t>
        </is>
      </c>
      <c r="C725" s="3" t="n">
        <v>46035</v>
      </c>
      <c r="D725" s="3" t="n">
        <v>46036</v>
      </c>
      <c r="E725" s="3" t="n">
        <v>46036</v>
      </c>
      <c r="F725" t="inlineStr">
        <is>
          <t>Surat</t>
        </is>
      </c>
      <c r="G725" t="inlineStr">
        <is>
          <t>Surat</t>
        </is>
      </c>
      <c r="H725" t="inlineStr">
        <is>
          <t>Aramex</t>
        </is>
      </c>
      <c r="I725" t="inlineStr">
        <is>
          <t>Truck</t>
        </is>
      </c>
      <c r="J725" t="inlineStr">
        <is>
          <t>High</t>
        </is>
      </c>
      <c r="K725" t="inlineStr">
        <is>
          <t>Delivered</t>
        </is>
      </c>
      <c r="L725" t="n">
        <v>471</v>
      </c>
      <c r="M725" t="n">
        <v>2207</v>
      </c>
      <c r="N725" t="n">
        <v>10.99</v>
      </c>
      <c r="O725" t="n">
        <v>908.48</v>
      </c>
      <c r="P725" t="n">
        <v>1313.08</v>
      </c>
      <c r="Q725">
        <f>ROUND(L725*M725*N725/1000+O725+P725,2)</f>
        <v/>
      </c>
      <c r="R725" t="inlineStr">
        <is>
          <t>Yes</t>
        </is>
      </c>
      <c r="S725">
        <f>IF(OR(E725="",D725=""),"",MAX(0,E725-D725))</f>
        <v/>
      </c>
      <c r="T725" t="inlineStr">
        <is>
          <t>Yes</t>
        </is>
      </c>
      <c r="U725" t="n">
        <v>28</v>
      </c>
      <c r="V725" t="inlineStr">
        <is>
          <t>Paid</t>
        </is>
      </c>
      <c r="W725" t="n">
        <v>4</v>
      </c>
      <c r="X725" t="inlineStr">
        <is>
          <t>Address Error</t>
        </is>
      </c>
    </row>
    <row r="726">
      <c r="A726" t="inlineStr">
        <is>
          <t>ORD-2026-00725</t>
        </is>
      </c>
      <c r="B726" t="inlineStr">
        <is>
          <t>CUST-0231</t>
        </is>
      </c>
      <c r="C726" s="3" t="n">
        <v>46079</v>
      </c>
      <c r="D726" s="3" t="n">
        <v>46085</v>
      </c>
      <c r="E726" s="3" t="n">
        <v>46085</v>
      </c>
      <c r="F726" t="inlineStr">
        <is>
          <t>Mumbai</t>
        </is>
      </c>
      <c r="G726" t="inlineStr">
        <is>
          <t>Pune</t>
        </is>
      </c>
      <c r="H726" t="inlineStr">
        <is>
          <t>BlueDart</t>
        </is>
      </c>
      <c r="I726" t="inlineStr">
        <is>
          <t>Truck</t>
        </is>
      </c>
      <c r="J726" t="inlineStr">
        <is>
          <t>High</t>
        </is>
      </c>
      <c r="K726" t="inlineStr">
        <is>
          <t>Delivered</t>
        </is>
      </c>
      <c r="L726" t="n">
        <v>517.24</v>
      </c>
      <c r="M726" t="n">
        <v>2628</v>
      </c>
      <c r="N726" t="n">
        <v>42.94</v>
      </c>
      <c r="O726" t="n">
        <v>1909.47</v>
      </c>
      <c r="P726" t="n">
        <v>584.6</v>
      </c>
      <c r="Q726">
        <f>ROUND(L726*M726*N726/1000+O726+P726,2)</f>
        <v/>
      </c>
      <c r="R726" t="inlineStr">
        <is>
          <t>Yes</t>
        </is>
      </c>
      <c r="S726">
        <f>IF(OR(E726="",D726=""),"",MAX(0,E726-D726))</f>
        <v/>
      </c>
      <c r="T726" t="inlineStr">
        <is>
          <t>Yes</t>
        </is>
      </c>
      <c r="U726" t="n">
        <v>50</v>
      </c>
      <c r="V726" t="inlineStr">
        <is>
          <t>Pending</t>
        </is>
      </c>
      <c r="W726" t="n">
        <v>3</v>
      </c>
      <c r="X726" t="inlineStr">
        <is>
          <t>Customer Unavailable</t>
        </is>
      </c>
    </row>
    <row r="727">
      <c r="A727" t="inlineStr">
        <is>
          <t>ORD-2026-00726</t>
        </is>
      </c>
      <c r="B727" t="inlineStr">
        <is>
          <t>CUST-0222</t>
        </is>
      </c>
      <c r="C727" s="3" t="n">
        <v>46125</v>
      </c>
      <c r="D727" s="3" t="n">
        <v>46126</v>
      </c>
      <c r="E727" s="3" t="n">
        <v>46126</v>
      </c>
      <c r="F727" t="inlineStr">
        <is>
          <t>Pune</t>
        </is>
      </c>
      <c r="G727" t="inlineStr">
        <is>
          <t>Bengaluru</t>
        </is>
      </c>
      <c r="H727" t="inlineStr">
        <is>
          <t>Maersk</t>
        </is>
      </c>
      <c r="I727" t="inlineStr">
        <is>
          <t>Refrigerated Truck</t>
        </is>
      </c>
      <c r="J727" t="inlineStr">
        <is>
          <t>Critical</t>
        </is>
      </c>
      <c r="K727" t="inlineStr">
        <is>
          <t>Delivered</t>
        </is>
      </c>
      <c r="L727" t="n">
        <v>1554.6</v>
      </c>
      <c r="M727" t="n">
        <v>1062</v>
      </c>
      <c r="N727" t="n">
        <v>58.27</v>
      </c>
      <c r="O727" t="n">
        <v>5326.8</v>
      </c>
      <c r="P727" t="n">
        <v>864.4</v>
      </c>
      <c r="Q727">
        <f>ROUND(L727*M727*N727/1000+O727+P727,2)</f>
        <v/>
      </c>
      <c r="R727" t="inlineStr">
        <is>
          <t>Yes</t>
        </is>
      </c>
      <c r="S727">
        <f>IF(OR(E727="",D727=""),"",MAX(0,E727-D727))</f>
        <v/>
      </c>
      <c r="T727" t="inlineStr">
        <is>
          <t>Yes</t>
        </is>
      </c>
      <c r="U727" t="n">
        <v>54</v>
      </c>
      <c r="V727" t="inlineStr">
        <is>
          <t>Failed</t>
        </is>
      </c>
      <c r="W727" t="n">
        <v>4</v>
      </c>
      <c r="X727" t="inlineStr">
        <is>
          <t>Vehicle Breakdown</t>
        </is>
      </c>
    </row>
    <row r="728">
      <c r="A728" t="inlineStr">
        <is>
          <t>ORD-2026-00727</t>
        </is>
      </c>
      <c r="B728" t="inlineStr">
        <is>
          <t>CUST-0033</t>
        </is>
      </c>
      <c r="C728" s="3" t="n">
        <v>46238</v>
      </c>
      <c r="D728" s="3" t="n">
        <v>46242</v>
      </c>
      <c r="E728" s="3" t="n">
        <v>46244</v>
      </c>
      <c r="F728" t="inlineStr">
        <is>
          <t>Bengaluru</t>
        </is>
      </c>
      <c r="G728" t="inlineStr">
        <is>
          <t>Mumbai</t>
        </is>
      </c>
      <c r="H728" t="inlineStr">
        <is>
          <t>Maersk</t>
        </is>
      </c>
      <c r="I728" t="inlineStr">
        <is>
          <t>Van</t>
        </is>
      </c>
      <c r="J728" t="inlineStr">
        <is>
          <t>Low</t>
        </is>
      </c>
      <c r="K728" t="inlineStr">
        <is>
          <t>Delivered</t>
        </is>
      </c>
      <c r="L728" t="n">
        <v>1500.52</v>
      </c>
      <c r="M728" t="n">
        <v>2571</v>
      </c>
      <c r="N728" t="n">
        <v>47.47</v>
      </c>
      <c r="O728" t="n">
        <v>5953.23</v>
      </c>
      <c r="P728" t="n">
        <v>1155.35</v>
      </c>
      <c r="Q728">
        <f>ROUND(L728*M728*N728/1000+O728+P728,2)</f>
        <v/>
      </c>
      <c r="R728" t="inlineStr">
        <is>
          <t>No</t>
        </is>
      </c>
      <c r="S728">
        <f>IF(OR(E728="",D728=""),"",MAX(0,E728-D728))</f>
        <v/>
      </c>
      <c r="T728" t="inlineStr">
        <is>
          <t>Yes</t>
        </is>
      </c>
      <c r="U728" t="n">
        <v>63</v>
      </c>
      <c r="V728" t="inlineStr">
        <is>
          <t>Paid</t>
        </is>
      </c>
      <c r="W728" t="n">
        <v>2</v>
      </c>
      <c r="X728" t="inlineStr">
        <is>
          <t>Customs</t>
        </is>
      </c>
    </row>
    <row r="729">
      <c r="A729" t="inlineStr">
        <is>
          <t>ORD-2026-00728</t>
        </is>
      </c>
      <c r="B729" t="inlineStr">
        <is>
          <t>CUST-0067</t>
        </is>
      </c>
      <c r="C729" s="3" t="n">
        <v>46106</v>
      </c>
      <c r="D729" s="3" t="n">
        <v>46109</v>
      </c>
      <c r="E729" s="3" t="n">
        <v>46114</v>
      </c>
      <c r="F729" t="inlineStr">
        <is>
          <t>Mumbai</t>
        </is>
      </c>
      <c r="G729" t="inlineStr">
        <is>
          <t>Mumbai</t>
        </is>
      </c>
      <c r="H729" t="inlineStr">
        <is>
          <t>Delhivery</t>
        </is>
      </c>
      <c r="I729" t="inlineStr">
        <is>
          <t>Truck</t>
        </is>
      </c>
      <c r="J729" t="inlineStr">
        <is>
          <t>Low</t>
        </is>
      </c>
      <c r="K729" t="inlineStr">
        <is>
          <t>Delivered</t>
        </is>
      </c>
      <c r="L729" t="n">
        <v>1702.42</v>
      </c>
      <c r="M729" t="n">
        <v>1636</v>
      </c>
      <c r="N729" t="n">
        <v>24.23</v>
      </c>
      <c r="O729" t="n">
        <v>3184.34</v>
      </c>
      <c r="P729" t="n">
        <v>1286.15</v>
      </c>
      <c r="Q729">
        <f>ROUND(L729*M729*N729/1000+O729+P729,2)</f>
        <v/>
      </c>
      <c r="R729" t="inlineStr">
        <is>
          <t>No</t>
        </is>
      </c>
      <c r="S729">
        <f>IF(OR(E729="",D729=""),"",MAX(0,E729-D729))</f>
        <v/>
      </c>
      <c r="T729" t="inlineStr">
        <is>
          <t>No</t>
        </is>
      </c>
      <c r="U729" t="n">
        <v>26</v>
      </c>
      <c r="V729" t="inlineStr">
        <is>
          <t>Pending</t>
        </is>
      </c>
      <c r="W729" t="n">
        <v>5</v>
      </c>
      <c r="X729" t="inlineStr">
        <is>
          <t>None</t>
        </is>
      </c>
    </row>
    <row r="730">
      <c r="A730" t="inlineStr">
        <is>
          <t>ORD-2026-00729</t>
        </is>
      </c>
      <c r="B730" t="inlineStr">
        <is>
          <t>CUST-0112</t>
        </is>
      </c>
      <c r="C730" s="3" t="n">
        <v>46143</v>
      </c>
      <c r="D730" s="3" t="n">
        <v>46151</v>
      </c>
      <c r="E730" s="3" t="n">
        <v>46151</v>
      </c>
      <c r="F730" t="inlineStr">
        <is>
          <t>Kolkata</t>
        </is>
      </c>
      <c r="G730" t="inlineStr">
        <is>
          <t>Hyderabad</t>
        </is>
      </c>
      <c r="H730" t="inlineStr">
        <is>
          <t>Delhivery</t>
        </is>
      </c>
      <c r="I730" t="inlineStr">
        <is>
          <t>Truck</t>
        </is>
      </c>
      <c r="J730" t="inlineStr">
        <is>
          <t>Critical</t>
        </is>
      </c>
      <c r="K730" t="inlineStr">
        <is>
          <t>Delivered</t>
        </is>
      </c>
      <c r="L730" t="n">
        <v>2082.82</v>
      </c>
      <c r="M730" t="n">
        <v>760</v>
      </c>
      <c r="N730" t="n">
        <v>12.77</v>
      </c>
      <c r="O730" t="n">
        <v>1447.68</v>
      </c>
      <c r="P730" t="n">
        <v>119.75</v>
      </c>
      <c r="Q730">
        <f>ROUND(L730*M730*N730/1000+O730+P730,2)</f>
        <v/>
      </c>
      <c r="R730" t="inlineStr">
        <is>
          <t>Yes</t>
        </is>
      </c>
      <c r="S730">
        <f>IF(OR(E730="",D730=""),"",MAX(0,E730-D730))</f>
        <v/>
      </c>
      <c r="T730" t="inlineStr">
        <is>
          <t>Yes</t>
        </is>
      </c>
      <c r="U730" t="n">
        <v>65</v>
      </c>
      <c r="V730" t="inlineStr">
        <is>
          <t>Pending</t>
        </is>
      </c>
      <c r="W730" t="n">
        <v>2</v>
      </c>
      <c r="X730" t="inlineStr">
        <is>
          <t>Damaged Package</t>
        </is>
      </c>
    </row>
    <row r="731">
      <c r="A731" t="inlineStr">
        <is>
          <t>ORD-2026-00730</t>
        </is>
      </c>
      <c r="B731" t="inlineStr">
        <is>
          <t>CUST-0165</t>
        </is>
      </c>
      <c r="C731" s="3" t="n">
        <v>46104</v>
      </c>
      <c r="D731" s="3" t="n">
        <v>46105</v>
      </c>
      <c r="E731" s="3" t="n">
        <v>46106</v>
      </c>
      <c r="F731" t="inlineStr">
        <is>
          <t>Ahmedabad</t>
        </is>
      </c>
      <c r="G731" t="inlineStr">
        <is>
          <t>Chennai</t>
        </is>
      </c>
      <c r="H731" t="inlineStr">
        <is>
          <t>Delhivery</t>
        </is>
      </c>
      <c r="I731" t="inlineStr">
        <is>
          <t>Truck</t>
        </is>
      </c>
      <c r="J731" t="inlineStr">
        <is>
          <t>High</t>
        </is>
      </c>
      <c r="K731" t="inlineStr">
        <is>
          <t>Delivered</t>
        </is>
      </c>
      <c r="L731" t="n">
        <v>853.7</v>
      </c>
      <c r="M731" t="n">
        <v>1032</v>
      </c>
      <c r="N731" t="n">
        <v>60.54</v>
      </c>
      <c r="O731" t="n">
        <v>2720.55</v>
      </c>
      <c r="P731" t="n">
        <v>316.96</v>
      </c>
      <c r="Q731">
        <f>ROUND(L731*M731*N731/1000+O731+P731,2)</f>
        <v/>
      </c>
      <c r="R731" t="inlineStr">
        <is>
          <t>No</t>
        </is>
      </c>
      <c r="S731">
        <f>IF(OR(E731="",D731=""),"",MAX(0,E731-D731))</f>
        <v/>
      </c>
      <c r="T731" t="inlineStr">
        <is>
          <t>Yes</t>
        </is>
      </c>
      <c r="U731" t="n">
        <v>29</v>
      </c>
      <c r="V731" t="inlineStr">
        <is>
          <t>Pending</t>
        </is>
      </c>
      <c r="W731" t="n">
        <v>2</v>
      </c>
      <c r="X731" t="inlineStr">
        <is>
          <t>Vehicle Breakdown</t>
        </is>
      </c>
    </row>
    <row r="732">
      <c r="A732" t="inlineStr">
        <is>
          <t>ORD-2026-00731</t>
        </is>
      </c>
      <c r="B732" t="inlineStr">
        <is>
          <t>CUST-0247</t>
        </is>
      </c>
      <c r="C732" s="3" t="n">
        <v>46191</v>
      </c>
      <c r="D732" s="3" t="n">
        <v>46199</v>
      </c>
      <c r="E732" s="3" t="n">
        <v>46199</v>
      </c>
      <c r="F732" t="inlineStr">
        <is>
          <t>Hyderabad</t>
        </is>
      </c>
      <c r="G732" t="inlineStr">
        <is>
          <t>Ahmedabad</t>
        </is>
      </c>
      <c r="H732" t="inlineStr">
        <is>
          <t>BlueDart</t>
        </is>
      </c>
      <c r="I732" t="inlineStr">
        <is>
          <t>Van</t>
        </is>
      </c>
      <c r="J732" t="inlineStr">
        <is>
          <t>Critical</t>
        </is>
      </c>
      <c r="K732" t="inlineStr">
        <is>
          <t>Delivered</t>
        </is>
      </c>
      <c r="L732" t="n">
        <v>2108.63</v>
      </c>
      <c r="M732" t="n">
        <v>2469</v>
      </c>
      <c r="N732" t="n">
        <v>38.13</v>
      </c>
      <c r="O732" t="n">
        <v>12587.93</v>
      </c>
      <c r="P732" t="n">
        <v>232.18</v>
      </c>
      <c r="Q732">
        <f>ROUND(L732*M732*N732/1000+O732+P732,2)</f>
        <v/>
      </c>
      <c r="R732" t="inlineStr">
        <is>
          <t>Yes</t>
        </is>
      </c>
      <c r="S732">
        <f>IF(OR(E732="",D732=""),"",MAX(0,E732-D732))</f>
        <v/>
      </c>
      <c r="T732" t="inlineStr">
        <is>
          <t>Yes</t>
        </is>
      </c>
      <c r="U732" t="n">
        <v>80</v>
      </c>
      <c r="V732" t="inlineStr">
        <is>
          <t>Pending</t>
        </is>
      </c>
      <c r="W732" t="n">
        <v>3</v>
      </c>
      <c r="X732" t="inlineStr">
        <is>
          <t>Vehicle Breakdown</t>
        </is>
      </c>
    </row>
    <row r="733">
      <c r="A733" t="inlineStr">
        <is>
          <t>ORD-2026-00732</t>
        </is>
      </c>
      <c r="B733" t="inlineStr">
        <is>
          <t>CUST-0031</t>
        </is>
      </c>
      <c r="C733" s="3" t="n">
        <v>46032</v>
      </c>
      <c r="D733" s="3" t="n">
        <v>46035</v>
      </c>
      <c r="E733" s="3" t="n">
        <v>46040</v>
      </c>
      <c r="F733" t="inlineStr">
        <is>
          <t>Bengaluru</t>
        </is>
      </c>
      <c r="G733" t="inlineStr">
        <is>
          <t>Ahmedabad</t>
        </is>
      </c>
      <c r="H733" t="inlineStr">
        <is>
          <t>DTDC</t>
        </is>
      </c>
      <c r="I733" t="inlineStr">
        <is>
          <t>Bike</t>
        </is>
      </c>
      <c r="J733" t="inlineStr">
        <is>
          <t>Low</t>
        </is>
      </c>
      <c r="K733" t="inlineStr">
        <is>
          <t>Delivered</t>
        </is>
      </c>
      <c r="L733" t="n">
        <v>15.25</v>
      </c>
      <c r="M733" t="n">
        <v>19</v>
      </c>
      <c r="N733" t="n">
        <v>40.07</v>
      </c>
      <c r="O733" t="n">
        <v>0.92</v>
      </c>
      <c r="P733" t="n">
        <v>1157.67</v>
      </c>
      <c r="Q733">
        <f>ROUND(L733*M733*N733/1000+O733+P733,2)</f>
        <v/>
      </c>
      <c r="R733" t="inlineStr">
        <is>
          <t>No</t>
        </is>
      </c>
      <c r="S733">
        <f>IF(OR(E733="",D733=""),"",MAX(0,E733-D733))</f>
        <v/>
      </c>
      <c r="T733" t="inlineStr">
        <is>
          <t>Yes</t>
        </is>
      </c>
      <c r="U733" t="n">
        <v>61</v>
      </c>
      <c r="V733" t="inlineStr">
        <is>
          <t>Failed</t>
        </is>
      </c>
      <c r="W733" t="n">
        <v>3</v>
      </c>
      <c r="X733" t="inlineStr">
        <is>
          <t>Damaged Package</t>
        </is>
      </c>
    </row>
    <row r="734">
      <c r="A734" t="inlineStr">
        <is>
          <t>ORD-2026-00733</t>
        </is>
      </c>
      <c r="B734" t="inlineStr">
        <is>
          <t>CUST-0123</t>
        </is>
      </c>
      <c r="C734" s="3" t="n">
        <v>46180</v>
      </c>
      <c r="D734" s="3" t="n">
        <v>46187</v>
      </c>
      <c r="E734" s="3" t="n">
        <v>46187</v>
      </c>
      <c r="F734" t="inlineStr">
        <is>
          <t>Delhi</t>
        </is>
      </c>
      <c r="G734" t="inlineStr">
        <is>
          <t>Jaipur</t>
        </is>
      </c>
      <c r="H734" t="inlineStr">
        <is>
          <t>DTDC</t>
        </is>
      </c>
      <c r="I734" t="inlineStr">
        <is>
          <t>Refrigerated Truck</t>
        </is>
      </c>
      <c r="J734" t="inlineStr">
        <is>
          <t>Normal</t>
        </is>
      </c>
      <c r="K734" t="inlineStr">
        <is>
          <t>Delivered</t>
        </is>
      </c>
      <c r="L734" t="n">
        <v>1707.36</v>
      </c>
      <c r="M734" t="n">
        <v>2514</v>
      </c>
      <c r="N734" t="n">
        <v>22.25</v>
      </c>
      <c r="O734" t="n">
        <v>8481.48</v>
      </c>
      <c r="P734" t="n">
        <v>962.3099999999999</v>
      </c>
      <c r="Q734">
        <f>ROUND(L734*M734*N734/1000+O734+P734,2)</f>
        <v/>
      </c>
      <c r="R734" t="inlineStr">
        <is>
          <t>Yes</t>
        </is>
      </c>
      <c r="S734">
        <f>IF(OR(E734="",D734=""),"",MAX(0,E734-D734))</f>
        <v/>
      </c>
      <c r="T734" t="inlineStr">
        <is>
          <t>Yes</t>
        </is>
      </c>
      <c r="U734" t="n">
        <v>37</v>
      </c>
      <c r="V734" t="inlineStr">
        <is>
          <t>Pending</t>
        </is>
      </c>
      <c r="W734" t="n">
        <v>4</v>
      </c>
      <c r="X734" t="inlineStr">
        <is>
          <t>Vehicle Breakdown</t>
        </is>
      </c>
    </row>
    <row r="735">
      <c r="A735" t="inlineStr">
        <is>
          <t>ORD-2026-00734</t>
        </is>
      </c>
      <c r="B735" t="inlineStr">
        <is>
          <t>CUST-0059</t>
        </is>
      </c>
      <c r="C735" s="3" t="n">
        <v>46064</v>
      </c>
      <c r="D735" s="3" t="n">
        <v>46070</v>
      </c>
      <c r="E735" s="3" t="n">
        <v>46072</v>
      </c>
      <c r="F735" t="inlineStr">
        <is>
          <t>Chennai</t>
        </is>
      </c>
      <c r="G735" t="inlineStr">
        <is>
          <t>Delhi</t>
        </is>
      </c>
      <c r="H735" t="inlineStr">
        <is>
          <t>Aramex</t>
        </is>
      </c>
      <c r="I735" t="inlineStr">
        <is>
          <t>Refrigerated Truck</t>
        </is>
      </c>
      <c r="J735" t="inlineStr">
        <is>
          <t>Normal</t>
        </is>
      </c>
      <c r="K735" t="inlineStr">
        <is>
          <t>Delivered</t>
        </is>
      </c>
      <c r="L735" t="n">
        <v>749.99</v>
      </c>
      <c r="M735" t="n">
        <v>179</v>
      </c>
      <c r="N735" t="n">
        <v>34.22</v>
      </c>
      <c r="O735" t="n">
        <v>333.71</v>
      </c>
      <c r="P735" t="n">
        <v>821.42</v>
      </c>
      <c r="Q735">
        <f>ROUND(L735*M735*N735/1000+O735+P735,2)</f>
        <v/>
      </c>
      <c r="R735" t="inlineStr">
        <is>
          <t>No</t>
        </is>
      </c>
      <c r="S735">
        <f>IF(OR(E735="",D735=""),"",MAX(0,E735-D735))</f>
        <v/>
      </c>
      <c r="T735" t="inlineStr">
        <is>
          <t>No</t>
        </is>
      </c>
      <c r="U735" t="n">
        <v>54</v>
      </c>
      <c r="V735" t="inlineStr">
        <is>
          <t>Failed</t>
        </is>
      </c>
      <c r="W735" t="n">
        <v>4</v>
      </c>
      <c r="X735" t="inlineStr">
        <is>
          <t>Damaged Package</t>
        </is>
      </c>
    </row>
    <row r="736">
      <c r="A736" t="inlineStr">
        <is>
          <t>ORD-2026-00735</t>
        </is>
      </c>
      <c r="B736" t="inlineStr">
        <is>
          <t>CUST-0056</t>
        </is>
      </c>
      <c r="C736" s="3" t="n">
        <v>46138</v>
      </c>
      <c r="D736" s="3" t="n">
        <v>46146</v>
      </c>
      <c r="E736" s="3" t="n">
        <v>46151</v>
      </c>
      <c r="F736" t="inlineStr">
        <is>
          <t>Bengaluru</t>
        </is>
      </c>
      <c r="G736" t="inlineStr">
        <is>
          <t>Kolkata</t>
        </is>
      </c>
      <c r="H736" t="inlineStr">
        <is>
          <t>DHL</t>
        </is>
      </c>
      <c r="I736" t="inlineStr">
        <is>
          <t>Bike</t>
        </is>
      </c>
      <c r="J736" t="inlineStr">
        <is>
          <t>High</t>
        </is>
      </c>
      <c r="K736" t="inlineStr">
        <is>
          <t>Delivered</t>
        </is>
      </c>
      <c r="L736" t="n">
        <v>844.83</v>
      </c>
      <c r="M736" t="n">
        <v>2730</v>
      </c>
      <c r="N736" t="n">
        <v>30.74</v>
      </c>
      <c r="O736" t="n">
        <v>5203.83</v>
      </c>
      <c r="P736" t="n">
        <v>324.75</v>
      </c>
      <c r="Q736">
        <f>ROUND(L736*M736*N736/1000+O736+P736,2)</f>
        <v/>
      </c>
      <c r="R736" t="inlineStr">
        <is>
          <t>No</t>
        </is>
      </c>
      <c r="S736">
        <f>IF(OR(E736="",D736=""),"",MAX(0,E736-D736))</f>
        <v/>
      </c>
      <c r="T736" t="inlineStr">
        <is>
          <t>No</t>
        </is>
      </c>
      <c r="U736" t="n">
        <v>71</v>
      </c>
      <c r="V736" t="inlineStr">
        <is>
          <t>Failed</t>
        </is>
      </c>
      <c r="W736" t="n">
        <v>3</v>
      </c>
      <c r="X736" t="inlineStr">
        <is>
          <t>Damaged Package</t>
        </is>
      </c>
    </row>
    <row r="737">
      <c r="A737" t="inlineStr">
        <is>
          <t>ORD-2026-00736</t>
        </is>
      </c>
      <c r="B737" t="inlineStr">
        <is>
          <t>CUST-0160</t>
        </is>
      </c>
      <c r="C737" s="3" t="n">
        <v>46101</v>
      </c>
      <c r="D737" s="3" t="n">
        <v>46105</v>
      </c>
      <c r="E737" s="3" t="n">
        <v>46105</v>
      </c>
      <c r="F737" t="inlineStr">
        <is>
          <t>Chennai</t>
        </is>
      </c>
      <c r="G737" t="inlineStr">
        <is>
          <t>Ahmedabad</t>
        </is>
      </c>
      <c r="H737" t="inlineStr">
        <is>
          <t>DHL</t>
        </is>
      </c>
      <c r="I737" t="inlineStr">
        <is>
          <t>Truck</t>
        </is>
      </c>
      <c r="J737" t="inlineStr">
        <is>
          <t>High</t>
        </is>
      </c>
      <c r="K737" t="inlineStr">
        <is>
          <t>Delivered</t>
        </is>
      </c>
      <c r="L737" t="n">
        <v>1357.3</v>
      </c>
      <c r="M737" t="n">
        <v>1857</v>
      </c>
      <c r="N737" t="n">
        <v>25.12</v>
      </c>
      <c r="O737" t="n">
        <v>5063.52</v>
      </c>
      <c r="P737" t="n">
        <v>1166.37</v>
      </c>
      <c r="Q737">
        <f>ROUND(L737*M737*N737/1000+O737+P737,2)</f>
        <v/>
      </c>
      <c r="R737" t="inlineStr">
        <is>
          <t>Yes</t>
        </is>
      </c>
      <c r="S737">
        <f>IF(OR(E737="",D737=""),"",MAX(0,E737-D737))</f>
        <v/>
      </c>
      <c r="T737" t="inlineStr">
        <is>
          <t>Yes</t>
        </is>
      </c>
      <c r="U737" t="n">
        <v>50</v>
      </c>
      <c r="V737" t="inlineStr">
        <is>
          <t>Failed</t>
        </is>
      </c>
      <c r="W737" t="n">
        <v>2</v>
      </c>
      <c r="X737" t="inlineStr">
        <is>
          <t>Weather</t>
        </is>
      </c>
    </row>
    <row r="738">
      <c r="A738" t="inlineStr">
        <is>
          <t>ORD-2026-00737</t>
        </is>
      </c>
      <c r="B738" t="inlineStr">
        <is>
          <t>CUST-0201</t>
        </is>
      </c>
      <c r="C738" s="3" t="n">
        <v>46029</v>
      </c>
      <c r="D738" s="3" t="n">
        <v>46033</v>
      </c>
      <c r="E738" s="3" t="n">
        <v>46033</v>
      </c>
      <c r="F738" t="inlineStr">
        <is>
          <t>Bengaluru</t>
        </is>
      </c>
      <c r="G738" t="inlineStr">
        <is>
          <t>Delhi</t>
        </is>
      </c>
      <c r="H738" t="inlineStr">
        <is>
          <t>Delhivery</t>
        </is>
      </c>
      <c r="I738" t="inlineStr">
        <is>
          <t>Refrigerated Truck</t>
        </is>
      </c>
      <c r="J738" t="inlineStr">
        <is>
          <t>Critical</t>
        </is>
      </c>
      <c r="K738" t="inlineStr">
        <is>
          <t>Delivered</t>
        </is>
      </c>
      <c r="L738" t="n">
        <v>683.66</v>
      </c>
      <c r="M738" t="n">
        <v>2792</v>
      </c>
      <c r="N738" t="n">
        <v>40.11</v>
      </c>
      <c r="O738" t="n">
        <v>3012.78</v>
      </c>
      <c r="P738" t="n">
        <v>614.78</v>
      </c>
      <c r="Q738">
        <f>ROUND(L738*M738*N738/1000+O738+P738,2)</f>
        <v/>
      </c>
      <c r="R738" t="inlineStr">
        <is>
          <t>Yes</t>
        </is>
      </c>
      <c r="S738">
        <f>IF(OR(E738="",D738=""),"",MAX(0,E738-D738))</f>
        <v/>
      </c>
      <c r="T738" t="inlineStr">
        <is>
          <t>Yes</t>
        </is>
      </c>
      <c r="U738" t="n">
        <v>17</v>
      </c>
      <c r="V738" t="inlineStr">
        <is>
          <t>Failed</t>
        </is>
      </c>
      <c r="W738" t="n">
        <v>3</v>
      </c>
      <c r="X738" t="inlineStr">
        <is>
          <t>Customs</t>
        </is>
      </c>
    </row>
    <row r="739">
      <c r="A739" t="inlineStr">
        <is>
          <t>ORD-2026-00738</t>
        </is>
      </c>
      <c r="B739" t="inlineStr">
        <is>
          <t>CUST-0024</t>
        </is>
      </c>
      <c r="C739" s="3" t="n">
        <v>46218</v>
      </c>
      <c r="D739" s="3" t="n">
        <v>46219</v>
      </c>
      <c r="E739" s="3" t="n">
        <v>46220</v>
      </c>
      <c r="F739" t="inlineStr">
        <is>
          <t>Hyderabad</t>
        </is>
      </c>
      <c r="G739" t="inlineStr">
        <is>
          <t>Hyderabad</t>
        </is>
      </c>
      <c r="H739" t="inlineStr">
        <is>
          <t>DHL</t>
        </is>
      </c>
      <c r="I739" t="inlineStr">
        <is>
          <t>Truck</t>
        </is>
      </c>
      <c r="J739" t="inlineStr">
        <is>
          <t>Normal</t>
        </is>
      </c>
      <c r="K739" t="inlineStr">
        <is>
          <t>Delivered</t>
        </is>
      </c>
      <c r="L739" t="n">
        <v>214.83</v>
      </c>
      <c r="M739" t="n">
        <v>40</v>
      </c>
      <c r="N739" t="n">
        <v>60.45</v>
      </c>
      <c r="O739" t="n">
        <v>42.68</v>
      </c>
      <c r="P739" t="n">
        <v>510.63</v>
      </c>
      <c r="Q739">
        <f>ROUND(L739*M739*N739/1000+O739+P739,2)</f>
        <v/>
      </c>
      <c r="R739" t="inlineStr">
        <is>
          <t>No</t>
        </is>
      </c>
      <c r="S739">
        <f>IF(OR(E739="",D739=""),"",MAX(0,E739-D739))</f>
        <v/>
      </c>
      <c r="T739" t="inlineStr">
        <is>
          <t>No</t>
        </is>
      </c>
      <c r="U739" t="n">
        <v>9</v>
      </c>
      <c r="V739" t="inlineStr">
        <is>
          <t>COD</t>
        </is>
      </c>
      <c r="W739" t="n">
        <v>5</v>
      </c>
      <c r="X739" t="inlineStr">
        <is>
          <t>Vehicle Breakdown</t>
        </is>
      </c>
    </row>
    <row r="740">
      <c r="A740" t="inlineStr">
        <is>
          <t>ORD-2026-00739</t>
        </is>
      </c>
      <c r="B740" t="inlineStr">
        <is>
          <t>CUST-0042</t>
        </is>
      </c>
      <c r="C740" s="3" t="n">
        <v>46172</v>
      </c>
      <c r="D740" s="3" t="n">
        <v>46180</v>
      </c>
      <c r="E740" s="3" t="n">
        <v>46180</v>
      </c>
      <c r="F740" t="inlineStr">
        <is>
          <t>Chennai</t>
        </is>
      </c>
      <c r="G740" t="inlineStr">
        <is>
          <t>Mumbai</t>
        </is>
      </c>
      <c r="H740" t="inlineStr">
        <is>
          <t>DTDC</t>
        </is>
      </c>
      <c r="I740" t="inlineStr">
        <is>
          <t>Bike</t>
        </is>
      </c>
      <c r="J740" t="inlineStr">
        <is>
          <t>Critical</t>
        </is>
      </c>
      <c r="K740" t="inlineStr">
        <is>
          <t>Delivered</t>
        </is>
      </c>
      <c r="L740" t="n">
        <v>724.71</v>
      </c>
      <c r="M740" t="n">
        <v>420</v>
      </c>
      <c r="N740" t="n">
        <v>53.73</v>
      </c>
      <c r="O740" t="n">
        <v>647.4400000000001</v>
      </c>
      <c r="P740" t="n">
        <v>1323.23</v>
      </c>
      <c r="Q740">
        <f>ROUND(L740*M740*N740/1000+O740+P740,2)</f>
        <v/>
      </c>
      <c r="R740" t="inlineStr">
        <is>
          <t>Yes</t>
        </is>
      </c>
      <c r="S740">
        <f>IF(OR(E740="",D740=""),"",MAX(0,E740-D740))</f>
        <v/>
      </c>
      <c r="T740" t="inlineStr">
        <is>
          <t>Yes</t>
        </is>
      </c>
      <c r="U740" t="n">
        <v>72</v>
      </c>
      <c r="V740" t="inlineStr">
        <is>
          <t>Failed</t>
        </is>
      </c>
      <c r="W740" t="n">
        <v>3</v>
      </c>
      <c r="X740" t="inlineStr">
        <is>
          <t>Damaged Package</t>
        </is>
      </c>
    </row>
    <row r="741">
      <c r="A741" t="inlineStr">
        <is>
          <t>ORD-2026-00740</t>
        </is>
      </c>
      <c r="B741" t="inlineStr">
        <is>
          <t>CUST-0122</t>
        </is>
      </c>
      <c r="C741" s="3" t="n">
        <v>46240</v>
      </c>
      <c r="D741" s="3" t="n">
        <v>46244</v>
      </c>
      <c r="E741" s="3" t="n">
        <v>46254</v>
      </c>
      <c r="F741" t="inlineStr">
        <is>
          <t>Chennai</t>
        </is>
      </c>
      <c r="G741" t="inlineStr">
        <is>
          <t>Jaipur</t>
        </is>
      </c>
      <c r="H741" t="inlineStr">
        <is>
          <t>DHL</t>
        </is>
      </c>
      <c r="I741" t="inlineStr">
        <is>
          <t>Van</t>
        </is>
      </c>
      <c r="J741" t="inlineStr">
        <is>
          <t>High</t>
        </is>
      </c>
      <c r="K741" t="inlineStr">
        <is>
          <t>Delivered</t>
        </is>
      </c>
      <c r="L741" t="n">
        <v>367.04</v>
      </c>
      <c r="M741" t="n">
        <v>1827</v>
      </c>
      <c r="N741" t="n">
        <v>13.53</v>
      </c>
      <c r="O741" t="n">
        <v>293.63</v>
      </c>
      <c r="P741" t="n">
        <v>1322.74</v>
      </c>
      <c r="Q741">
        <f>ROUND(L741*M741*N741/1000+O741+P741,2)</f>
        <v/>
      </c>
      <c r="R741" t="inlineStr">
        <is>
          <t>No</t>
        </is>
      </c>
      <c r="S741">
        <f>IF(OR(E741="",D741=""),"",MAX(0,E741-D741))</f>
        <v/>
      </c>
      <c r="T741" t="inlineStr">
        <is>
          <t>No</t>
        </is>
      </c>
      <c r="U741" t="n">
        <v>75</v>
      </c>
      <c r="V741" t="inlineStr">
        <is>
          <t>Pending</t>
        </is>
      </c>
      <c r="W741" t="n">
        <v>4</v>
      </c>
      <c r="X741" t="inlineStr">
        <is>
          <t>None</t>
        </is>
      </c>
    </row>
    <row r="742">
      <c r="A742" t="inlineStr">
        <is>
          <t>ORD-2026-00741</t>
        </is>
      </c>
      <c r="B742" t="inlineStr">
        <is>
          <t>CUST-0235</t>
        </is>
      </c>
      <c r="C742" s="3" t="n">
        <v>46148</v>
      </c>
      <c r="D742" s="3" t="n">
        <v>46154</v>
      </c>
      <c r="E742" s="3" t="n">
        <v>46157</v>
      </c>
      <c r="F742" t="inlineStr">
        <is>
          <t>Delhi</t>
        </is>
      </c>
      <c r="G742" t="inlineStr">
        <is>
          <t>Mumbai</t>
        </is>
      </c>
      <c r="H742" t="inlineStr">
        <is>
          <t>Aramex</t>
        </is>
      </c>
      <c r="I742" t="inlineStr">
        <is>
          <t>Truck</t>
        </is>
      </c>
      <c r="J742" t="inlineStr">
        <is>
          <t>High</t>
        </is>
      </c>
      <c r="K742" t="inlineStr">
        <is>
          <t>Delivered</t>
        </is>
      </c>
      <c r="L742" t="n">
        <v>2216.28</v>
      </c>
      <c r="M742" t="n">
        <v>287</v>
      </c>
      <c r="N742" t="n">
        <v>18.1</v>
      </c>
      <c r="O742" t="n">
        <v>776.45</v>
      </c>
      <c r="P742" t="n">
        <v>1022.51</v>
      </c>
      <c r="Q742">
        <f>ROUND(L742*M742*N742/1000+O742+P742,2)</f>
        <v/>
      </c>
      <c r="R742" t="inlineStr">
        <is>
          <t>No</t>
        </is>
      </c>
      <c r="S742">
        <f>IF(OR(E742="",D742=""),"",MAX(0,E742-D742))</f>
        <v/>
      </c>
      <c r="T742" t="inlineStr">
        <is>
          <t>No</t>
        </is>
      </c>
      <c r="U742" t="n">
        <v>11</v>
      </c>
      <c r="V742" t="inlineStr">
        <is>
          <t>COD</t>
        </is>
      </c>
      <c r="W742" t="n">
        <v>5</v>
      </c>
      <c r="X742" t="inlineStr">
        <is>
          <t>Customer Unavailable</t>
        </is>
      </c>
    </row>
    <row r="743">
      <c r="A743" t="inlineStr">
        <is>
          <t>ORD-2026-00742</t>
        </is>
      </c>
      <c r="B743" t="inlineStr">
        <is>
          <t>CUST-0134</t>
        </is>
      </c>
      <c r="C743" s="3" t="n">
        <v>46149</v>
      </c>
      <c r="D743" s="3" t="n">
        <v>46150</v>
      </c>
      <c r="E743" s="3" t="n">
        <v>46151</v>
      </c>
      <c r="F743" t="inlineStr">
        <is>
          <t>Ahmedabad</t>
        </is>
      </c>
      <c r="G743" t="inlineStr">
        <is>
          <t>Jaipur</t>
        </is>
      </c>
      <c r="H743" t="inlineStr">
        <is>
          <t>FedEx</t>
        </is>
      </c>
      <c r="I743" t="inlineStr">
        <is>
          <t>Truck</t>
        </is>
      </c>
      <c r="J743" t="inlineStr">
        <is>
          <t>Low</t>
        </is>
      </c>
      <c r="K743" t="inlineStr">
        <is>
          <t>Delivered</t>
        </is>
      </c>
      <c r="L743" t="n">
        <v>2479.26</v>
      </c>
      <c r="M743" t="n">
        <v>1500</v>
      </c>
      <c r="N743" t="n">
        <v>56.52</v>
      </c>
      <c r="O743" t="n">
        <v>8727.450000000001</v>
      </c>
      <c r="P743" t="n">
        <v>434.76</v>
      </c>
      <c r="Q743">
        <f>ROUND(L743*M743*N743/1000+O743+P743,2)</f>
        <v/>
      </c>
      <c r="R743" t="inlineStr">
        <is>
          <t>No</t>
        </is>
      </c>
      <c r="S743">
        <f>IF(OR(E743="",D743=""),"",MAX(0,E743-D743))</f>
        <v/>
      </c>
      <c r="T743" t="inlineStr">
        <is>
          <t>Yes</t>
        </is>
      </c>
      <c r="U743" t="n">
        <v>40</v>
      </c>
      <c r="V743" t="inlineStr">
        <is>
          <t>COD</t>
        </is>
      </c>
      <c r="W743" t="n">
        <v>4</v>
      </c>
      <c r="X743" t="inlineStr">
        <is>
          <t>Weather</t>
        </is>
      </c>
    </row>
    <row r="744">
      <c r="A744" t="inlineStr">
        <is>
          <t>ORD-2026-00743</t>
        </is>
      </c>
      <c r="B744" t="inlineStr">
        <is>
          <t>CUST-0238</t>
        </is>
      </c>
      <c r="C744" s="3" t="n">
        <v>46109</v>
      </c>
      <c r="D744" s="3" t="n">
        <v>46110</v>
      </c>
      <c r="E744" s="3" t="n">
        <v>46110</v>
      </c>
      <c r="F744" t="inlineStr">
        <is>
          <t>Kolkata</t>
        </is>
      </c>
      <c r="G744" t="inlineStr">
        <is>
          <t>Ahmedabad</t>
        </is>
      </c>
      <c r="H744" t="inlineStr">
        <is>
          <t>Maersk</t>
        </is>
      </c>
      <c r="I744" t="inlineStr">
        <is>
          <t>Bike</t>
        </is>
      </c>
      <c r="J744" t="inlineStr">
        <is>
          <t>Low</t>
        </is>
      </c>
      <c r="K744" t="inlineStr">
        <is>
          <t>Delivered</t>
        </is>
      </c>
      <c r="L744" t="n">
        <v>1641.91</v>
      </c>
      <c r="M744" t="n">
        <v>2705</v>
      </c>
      <c r="N744" t="n">
        <v>12.57</v>
      </c>
      <c r="O744" t="n">
        <v>3521.43</v>
      </c>
      <c r="P744" t="n">
        <v>213.36</v>
      </c>
      <c r="Q744">
        <f>ROUND(L744*M744*N744/1000+O744+P744,2)</f>
        <v/>
      </c>
      <c r="R744" t="inlineStr">
        <is>
          <t>Yes</t>
        </is>
      </c>
      <c r="S744">
        <f>IF(OR(E744="",D744=""),"",MAX(0,E744-D744))</f>
        <v/>
      </c>
      <c r="T744" t="inlineStr">
        <is>
          <t>No</t>
        </is>
      </c>
      <c r="U744" t="n">
        <v>49</v>
      </c>
      <c r="V744" t="inlineStr">
        <is>
          <t>Pending</t>
        </is>
      </c>
      <c r="W744" t="n">
        <v>4</v>
      </c>
      <c r="X744" t="inlineStr">
        <is>
          <t>Weather</t>
        </is>
      </c>
    </row>
    <row r="745">
      <c r="A745" t="inlineStr">
        <is>
          <t>ORD-2026-00744</t>
        </is>
      </c>
      <c r="B745" t="inlineStr">
        <is>
          <t>CUST-0105</t>
        </is>
      </c>
      <c r="C745" s="3" t="n">
        <v>46122</v>
      </c>
      <c r="D745" s="3" t="n">
        <v>46123</v>
      </c>
      <c r="E745" s="3" t="n">
        <v>46124</v>
      </c>
      <c r="F745" t="inlineStr">
        <is>
          <t>Hyderabad</t>
        </is>
      </c>
      <c r="G745" t="inlineStr">
        <is>
          <t>Delhi</t>
        </is>
      </c>
      <c r="H745" t="inlineStr">
        <is>
          <t>FedEx</t>
        </is>
      </c>
      <c r="I745" t="inlineStr">
        <is>
          <t>Refrigerated Truck</t>
        </is>
      </c>
      <c r="J745" t="inlineStr">
        <is>
          <t>Normal</t>
        </is>
      </c>
      <c r="K745" t="inlineStr">
        <is>
          <t>Delivered</t>
        </is>
      </c>
      <c r="L745" t="n">
        <v>938.17</v>
      </c>
      <c r="M745" t="n">
        <v>1507</v>
      </c>
      <c r="N745" t="n">
        <v>53.78</v>
      </c>
      <c r="O745" t="n">
        <v>6175.41</v>
      </c>
      <c r="P745" t="n">
        <v>1180.5</v>
      </c>
      <c r="Q745">
        <f>ROUND(L745*M745*N745/1000+O745+P745,2)</f>
        <v/>
      </c>
      <c r="R745" t="inlineStr">
        <is>
          <t>No</t>
        </is>
      </c>
      <c r="S745">
        <f>IF(OR(E745="",D745=""),"",MAX(0,E745-D745))</f>
        <v/>
      </c>
      <c r="T745" t="inlineStr">
        <is>
          <t>No</t>
        </is>
      </c>
      <c r="U745" t="n">
        <v>37</v>
      </c>
      <c r="V745" t="inlineStr">
        <is>
          <t>COD</t>
        </is>
      </c>
      <c r="W745" t="n">
        <v>1</v>
      </c>
      <c r="X745" t="inlineStr">
        <is>
          <t>Weather</t>
        </is>
      </c>
    </row>
    <row r="746">
      <c r="A746" t="inlineStr">
        <is>
          <t>ORD-2026-00745</t>
        </is>
      </c>
      <c r="B746" t="inlineStr">
        <is>
          <t>CUST-0063</t>
        </is>
      </c>
      <c r="C746" s="3" t="n">
        <v>46194</v>
      </c>
      <c r="D746" s="3" t="n">
        <v>46196</v>
      </c>
      <c r="E746" s="3" t="n">
        <v>46198</v>
      </c>
      <c r="F746" t="inlineStr">
        <is>
          <t>Mumbai</t>
        </is>
      </c>
      <c r="G746" t="inlineStr">
        <is>
          <t>Delhi</t>
        </is>
      </c>
      <c r="H746" t="inlineStr">
        <is>
          <t>FedEx</t>
        </is>
      </c>
      <c r="I746" t="inlineStr">
        <is>
          <t>Van</t>
        </is>
      </c>
      <c r="J746" t="inlineStr">
        <is>
          <t>Normal</t>
        </is>
      </c>
      <c r="K746" t="inlineStr">
        <is>
          <t>Delivered</t>
        </is>
      </c>
      <c r="L746" t="n">
        <v>2153.77</v>
      </c>
      <c r="M746" t="n">
        <v>469</v>
      </c>
      <c r="N746" t="n">
        <v>9.31</v>
      </c>
      <c r="O746" t="n">
        <v>354.65</v>
      </c>
      <c r="P746" t="n">
        <v>1147.85</v>
      </c>
      <c r="Q746">
        <f>ROUND(L746*M746*N746/1000+O746+P746,2)</f>
        <v/>
      </c>
      <c r="R746" t="inlineStr">
        <is>
          <t>No</t>
        </is>
      </c>
      <c r="S746">
        <f>IF(OR(E746="",D746=""),"",MAX(0,E746-D746))</f>
        <v/>
      </c>
      <c r="T746" t="inlineStr">
        <is>
          <t>Yes</t>
        </is>
      </c>
      <c r="U746" t="n">
        <v>12</v>
      </c>
      <c r="V746" t="inlineStr">
        <is>
          <t>Paid</t>
        </is>
      </c>
      <c r="W746" t="n">
        <v>1</v>
      </c>
      <c r="X746" t="inlineStr">
        <is>
          <t>Damaged Package</t>
        </is>
      </c>
    </row>
    <row r="747">
      <c r="A747" t="inlineStr">
        <is>
          <t>ORD-2026-00746</t>
        </is>
      </c>
      <c r="B747" t="inlineStr">
        <is>
          <t>CUST-0085</t>
        </is>
      </c>
      <c r="C747" s="3" t="n">
        <v>46026</v>
      </c>
      <c r="D747" s="3" t="n">
        <v>46032</v>
      </c>
      <c r="E747" s="3" t="n">
        <v>46035</v>
      </c>
      <c r="F747" t="inlineStr">
        <is>
          <t>Mumbai</t>
        </is>
      </c>
      <c r="G747" t="inlineStr">
        <is>
          <t>Kolkata</t>
        </is>
      </c>
      <c r="H747" t="inlineStr">
        <is>
          <t>BlueDart</t>
        </is>
      </c>
      <c r="I747" t="inlineStr">
        <is>
          <t>Van</t>
        </is>
      </c>
      <c r="J747" t="inlineStr">
        <is>
          <t>Normal</t>
        </is>
      </c>
      <c r="K747" t="inlineStr">
        <is>
          <t>Delivered</t>
        </is>
      </c>
      <c r="L747" t="n">
        <v>391.03</v>
      </c>
      <c r="M747" t="n">
        <v>2569</v>
      </c>
      <c r="N747" t="n">
        <v>63.04</v>
      </c>
      <c r="O747" t="n">
        <v>5582.08</v>
      </c>
      <c r="P747" t="n">
        <v>953.88</v>
      </c>
      <c r="Q747">
        <f>ROUND(L747*M747*N747/1000+O747+P747,2)</f>
        <v/>
      </c>
      <c r="R747" t="inlineStr">
        <is>
          <t>No</t>
        </is>
      </c>
      <c r="S747">
        <f>IF(OR(E747="",D747=""),"",MAX(0,E747-D747))</f>
        <v/>
      </c>
      <c r="T747" t="inlineStr">
        <is>
          <t>Yes</t>
        </is>
      </c>
      <c r="U747" t="n">
        <v>11</v>
      </c>
      <c r="V747" t="inlineStr">
        <is>
          <t>Pending</t>
        </is>
      </c>
      <c r="W747" t="n">
        <v>1</v>
      </c>
      <c r="X747" t="inlineStr">
        <is>
          <t>Damaged Package</t>
        </is>
      </c>
    </row>
    <row r="748">
      <c r="A748" t="inlineStr">
        <is>
          <t>ORD-2026-00747</t>
        </is>
      </c>
      <c r="B748" t="inlineStr">
        <is>
          <t>CUST-0210</t>
        </is>
      </c>
      <c r="C748" s="3" t="n">
        <v>46046</v>
      </c>
      <c r="D748" s="3" t="n">
        <v>46047</v>
      </c>
      <c r="E748" s="3" t="n">
        <v>46047</v>
      </c>
      <c r="F748" t="inlineStr">
        <is>
          <t>Bengaluru</t>
        </is>
      </c>
      <c r="G748" t="inlineStr">
        <is>
          <t>Jaipur</t>
        </is>
      </c>
      <c r="H748" t="inlineStr">
        <is>
          <t>DTDC</t>
        </is>
      </c>
      <c r="I748" t="inlineStr">
        <is>
          <t>Truck</t>
        </is>
      </c>
      <c r="J748" t="inlineStr">
        <is>
          <t>Critical</t>
        </is>
      </c>
      <c r="K748" t="inlineStr">
        <is>
          <t>Delivered</t>
        </is>
      </c>
      <c r="L748" t="n">
        <v>525.9400000000001</v>
      </c>
      <c r="M748" t="n">
        <v>330</v>
      </c>
      <c r="N748" t="n">
        <v>30.05</v>
      </c>
      <c r="O748" t="n">
        <v>352.19</v>
      </c>
      <c r="P748" t="n">
        <v>305.11</v>
      </c>
      <c r="Q748">
        <f>ROUND(L748*M748*N748/1000+O748+P748,2)</f>
        <v/>
      </c>
      <c r="R748" t="inlineStr">
        <is>
          <t>Yes</t>
        </is>
      </c>
      <c r="S748">
        <f>IF(OR(E748="",D748=""),"",MAX(0,E748-D748))</f>
        <v/>
      </c>
      <c r="T748" t="inlineStr">
        <is>
          <t>No</t>
        </is>
      </c>
      <c r="U748" t="n">
        <v>76</v>
      </c>
      <c r="V748" t="inlineStr">
        <is>
          <t>Paid</t>
        </is>
      </c>
      <c r="W748" t="n">
        <v>4</v>
      </c>
      <c r="X748" t="inlineStr">
        <is>
          <t>Address Error</t>
        </is>
      </c>
    </row>
    <row r="749">
      <c r="A749" t="inlineStr">
        <is>
          <t>ORD-2026-00748</t>
        </is>
      </c>
      <c r="B749" t="inlineStr">
        <is>
          <t>CUST-0195</t>
        </is>
      </c>
      <c r="C749" s="3" t="n">
        <v>46152</v>
      </c>
      <c r="D749" s="3" t="n">
        <v>46153</v>
      </c>
      <c r="E749" s="3" t="n">
        <v>46153</v>
      </c>
      <c r="F749" t="inlineStr">
        <is>
          <t>Mumbai</t>
        </is>
      </c>
      <c r="G749" t="inlineStr">
        <is>
          <t>Bengaluru</t>
        </is>
      </c>
      <c r="H749" t="inlineStr">
        <is>
          <t>DHL</t>
        </is>
      </c>
      <c r="I749" t="inlineStr">
        <is>
          <t>Refrigerated Truck</t>
        </is>
      </c>
      <c r="J749" t="inlineStr">
        <is>
          <t>Normal</t>
        </is>
      </c>
      <c r="K749" t="inlineStr">
        <is>
          <t>Delivered</t>
        </is>
      </c>
      <c r="L749" t="n">
        <v>658.52</v>
      </c>
      <c r="M749" t="n">
        <v>2225</v>
      </c>
      <c r="N749" t="n">
        <v>40.8</v>
      </c>
      <c r="O749" t="n">
        <v>2472.56</v>
      </c>
      <c r="P749" t="n">
        <v>203.54</v>
      </c>
      <c r="Q749">
        <f>ROUND(L749*M749*N749/1000+O749+P749,2)</f>
        <v/>
      </c>
      <c r="R749" t="inlineStr">
        <is>
          <t>Yes</t>
        </is>
      </c>
      <c r="S749">
        <f>IF(OR(E749="",D749=""),"",MAX(0,E749-D749))</f>
        <v/>
      </c>
      <c r="T749" t="inlineStr">
        <is>
          <t>Yes</t>
        </is>
      </c>
      <c r="U749" t="n">
        <v>51</v>
      </c>
      <c r="V749" t="inlineStr">
        <is>
          <t>COD</t>
        </is>
      </c>
      <c r="W749" t="n">
        <v>5</v>
      </c>
      <c r="X749" t="inlineStr">
        <is>
          <t>Weather</t>
        </is>
      </c>
    </row>
    <row r="750">
      <c r="A750" t="inlineStr">
        <is>
          <t>ORD-2026-00749</t>
        </is>
      </c>
      <c r="B750" t="inlineStr">
        <is>
          <t>CUST-0065</t>
        </is>
      </c>
      <c r="C750" s="3" t="n">
        <v>46152</v>
      </c>
      <c r="D750" s="3" t="n">
        <v>46157</v>
      </c>
      <c r="E750" s="3" t="n">
        <v>46157</v>
      </c>
      <c r="F750" t="inlineStr">
        <is>
          <t>Pune</t>
        </is>
      </c>
      <c r="G750" t="inlineStr">
        <is>
          <t>Delhi</t>
        </is>
      </c>
      <c r="H750" t="inlineStr">
        <is>
          <t>BlueDart</t>
        </is>
      </c>
      <c r="I750" t="inlineStr">
        <is>
          <t>Van</t>
        </is>
      </c>
      <c r="J750" t="inlineStr">
        <is>
          <t>Low</t>
        </is>
      </c>
      <c r="K750" t="inlineStr">
        <is>
          <t>Delivered</t>
        </is>
      </c>
      <c r="L750" t="n">
        <v>862.23</v>
      </c>
      <c r="M750" t="n">
        <v>991</v>
      </c>
      <c r="N750" t="n">
        <v>38.24</v>
      </c>
      <c r="O750" t="n">
        <v>2264.06</v>
      </c>
      <c r="P750" t="n">
        <v>1452.85</v>
      </c>
      <c r="Q750">
        <f>ROUND(L750*M750*N750/1000+O750+P750,2)</f>
        <v/>
      </c>
      <c r="R750" t="inlineStr">
        <is>
          <t>Yes</t>
        </is>
      </c>
      <c r="S750">
        <f>IF(OR(E750="",D750=""),"",MAX(0,E750-D750))</f>
        <v/>
      </c>
      <c r="T750" t="inlineStr">
        <is>
          <t>No</t>
        </is>
      </c>
      <c r="U750" t="n">
        <v>45</v>
      </c>
      <c r="V750" t="inlineStr">
        <is>
          <t>Paid</t>
        </is>
      </c>
      <c r="W750" t="n">
        <v>5</v>
      </c>
      <c r="X750" t="inlineStr">
        <is>
          <t>Customer Unavailable</t>
        </is>
      </c>
    </row>
    <row r="751">
      <c r="A751" t="inlineStr">
        <is>
          <t>ORD-2026-00750</t>
        </is>
      </c>
      <c r="B751" t="inlineStr">
        <is>
          <t>CUST-0198</t>
        </is>
      </c>
      <c r="C751" s="3" t="n">
        <v>46232</v>
      </c>
      <c r="D751" s="3" t="n">
        <v>46239</v>
      </c>
      <c r="E751" s="3" t="n">
        <v>46239</v>
      </c>
      <c r="F751" t="inlineStr">
        <is>
          <t>Hyderabad</t>
        </is>
      </c>
      <c r="G751" t="inlineStr">
        <is>
          <t>Kolkata</t>
        </is>
      </c>
      <c r="H751" t="inlineStr">
        <is>
          <t>Maersk</t>
        </is>
      </c>
      <c r="I751" t="inlineStr">
        <is>
          <t>Van</t>
        </is>
      </c>
      <c r="J751" t="inlineStr">
        <is>
          <t>High</t>
        </is>
      </c>
      <c r="K751" t="inlineStr">
        <is>
          <t>Delivered</t>
        </is>
      </c>
      <c r="L751" t="n">
        <v>1790.42</v>
      </c>
      <c r="M751" t="n">
        <v>54</v>
      </c>
      <c r="N751" t="n">
        <v>63.7</v>
      </c>
      <c r="O751" t="n">
        <v>434</v>
      </c>
      <c r="P751" t="n">
        <v>491.23</v>
      </c>
      <c r="Q751">
        <f>ROUND(L751*M751*N751/1000+O751+P751,2)</f>
        <v/>
      </c>
      <c r="R751" t="inlineStr">
        <is>
          <t>Yes</t>
        </is>
      </c>
      <c r="S751">
        <f>IF(OR(E751="",D751=""),"",MAX(0,E751-D751))</f>
        <v/>
      </c>
      <c r="T751" t="inlineStr">
        <is>
          <t>No</t>
        </is>
      </c>
      <c r="U751" t="n">
        <v>58</v>
      </c>
      <c r="V751" t="inlineStr">
        <is>
          <t>COD</t>
        </is>
      </c>
      <c r="W751" t="n">
        <v>4</v>
      </c>
      <c r="X751" t="inlineStr">
        <is>
          <t>Vehicle Breakdown</t>
        </is>
      </c>
    </row>
    <row r="752">
      <c r="A752" t="inlineStr">
        <is>
          <t>ORD-2026-00751</t>
        </is>
      </c>
      <c r="B752" t="inlineStr">
        <is>
          <t>CUST-0105</t>
        </is>
      </c>
      <c r="C752" s="3" t="n">
        <v>46150</v>
      </c>
      <c r="D752" s="3" t="n">
        <v>46155</v>
      </c>
      <c r="E752" s="3" t="n">
        <v>46157</v>
      </c>
      <c r="F752" t="inlineStr">
        <is>
          <t>Jaipur</t>
        </is>
      </c>
      <c r="G752" t="inlineStr">
        <is>
          <t>Jaipur</t>
        </is>
      </c>
      <c r="H752" t="inlineStr">
        <is>
          <t>FedEx</t>
        </is>
      </c>
      <c r="I752" t="inlineStr">
        <is>
          <t>Container</t>
        </is>
      </c>
      <c r="J752" t="inlineStr">
        <is>
          <t>Critical</t>
        </is>
      </c>
      <c r="K752" t="inlineStr">
        <is>
          <t>Delivered</t>
        </is>
      </c>
      <c r="L752" t="n">
        <v>2497.74</v>
      </c>
      <c r="M752" t="n">
        <v>784</v>
      </c>
      <c r="N752" t="n">
        <v>21</v>
      </c>
      <c r="O752" t="n">
        <v>1654.5</v>
      </c>
      <c r="P752" t="n">
        <v>1042.48</v>
      </c>
      <c r="Q752">
        <f>ROUND(L752*M752*N752/1000+O752+P752,2)</f>
        <v/>
      </c>
      <c r="R752" t="inlineStr">
        <is>
          <t>No</t>
        </is>
      </c>
      <c r="S752">
        <f>IF(OR(E752="",D752=""),"",MAX(0,E752-D752))</f>
        <v/>
      </c>
      <c r="T752" t="inlineStr">
        <is>
          <t>No</t>
        </is>
      </c>
      <c r="U752" t="n">
        <v>58</v>
      </c>
      <c r="V752" t="inlineStr">
        <is>
          <t>Pending</t>
        </is>
      </c>
      <c r="W752" t="n">
        <v>2</v>
      </c>
      <c r="X752" t="inlineStr">
        <is>
          <t>Damaged Package</t>
        </is>
      </c>
    </row>
    <row r="753">
      <c r="A753" t="inlineStr">
        <is>
          <t>ORD-2026-00752</t>
        </is>
      </c>
      <c r="B753" t="inlineStr">
        <is>
          <t>CUST-0004</t>
        </is>
      </c>
      <c r="C753" s="3" t="n">
        <v>46215</v>
      </c>
      <c r="D753" s="3" t="n">
        <v>46222</v>
      </c>
      <c r="E753" s="3" t="n"/>
      <c r="F753" t="inlineStr">
        <is>
          <t>Chennai</t>
        </is>
      </c>
      <c r="G753" t="inlineStr">
        <is>
          <t>Delhi</t>
        </is>
      </c>
      <c r="H753" t="inlineStr">
        <is>
          <t>DHL</t>
        </is>
      </c>
      <c r="I753" t="inlineStr">
        <is>
          <t>Bike</t>
        </is>
      </c>
      <c r="J753" t="inlineStr">
        <is>
          <t>Normal</t>
        </is>
      </c>
      <c r="K753" t="inlineStr">
        <is>
          <t>Booked</t>
        </is>
      </c>
      <c r="L753" t="n">
        <v>1970.77</v>
      </c>
      <c r="M753" t="n">
        <v>1567</v>
      </c>
      <c r="N753" t="n">
        <v>64.42</v>
      </c>
      <c r="O753" t="n">
        <v>13514.42</v>
      </c>
      <c r="P753" t="n">
        <v>611.14</v>
      </c>
      <c r="Q753">
        <f>ROUND(L753*M753*N753/1000+O753+P753,2)</f>
        <v/>
      </c>
      <c r="R753" t="inlineStr">
        <is>
          <t>No</t>
        </is>
      </c>
      <c r="S753">
        <f>IF(OR(E753="",D753=""),"",MAX(0,E753-D753))</f>
        <v/>
      </c>
      <c r="T753" t="inlineStr">
        <is>
          <t>Yes</t>
        </is>
      </c>
      <c r="U753" t="n">
        <v>13</v>
      </c>
      <c r="V753" t="inlineStr">
        <is>
          <t>Paid</t>
        </is>
      </c>
      <c r="W753" t="n">
        <v>4</v>
      </c>
      <c r="X753" t="inlineStr">
        <is>
          <t>Weather</t>
        </is>
      </c>
    </row>
    <row r="754">
      <c r="A754" t="inlineStr">
        <is>
          <t>ORD-2026-00753</t>
        </is>
      </c>
      <c r="B754" t="inlineStr">
        <is>
          <t>CUST-0128</t>
        </is>
      </c>
      <c r="C754" s="3" t="n">
        <v>46061</v>
      </c>
      <c r="D754" s="3" t="n">
        <v>46066</v>
      </c>
      <c r="E754" s="3" t="n"/>
      <c r="F754" t="inlineStr">
        <is>
          <t>Chennai</t>
        </is>
      </c>
      <c r="G754" t="inlineStr">
        <is>
          <t>Chennai</t>
        </is>
      </c>
      <c r="H754" t="inlineStr">
        <is>
          <t>Aramex</t>
        </is>
      </c>
      <c r="I754" t="inlineStr">
        <is>
          <t>Truck</t>
        </is>
      </c>
      <c r="J754" t="inlineStr">
        <is>
          <t>Critical</t>
        </is>
      </c>
      <c r="K754" t="inlineStr">
        <is>
          <t>Exception</t>
        </is>
      </c>
      <c r="L754" t="n">
        <v>396.21</v>
      </c>
      <c r="M754" t="n">
        <v>2255</v>
      </c>
      <c r="N754" t="n">
        <v>23.83</v>
      </c>
      <c r="O754" t="n">
        <v>881.38</v>
      </c>
      <c r="P754" t="n">
        <v>918.1</v>
      </c>
      <c r="Q754">
        <f>ROUND(L754*M754*N754/1000+O754+P754,2)</f>
        <v/>
      </c>
      <c r="R754" t="inlineStr">
        <is>
          <t>No</t>
        </is>
      </c>
      <c r="S754">
        <f>IF(OR(E754="",D754=""),"",MAX(0,E754-D754))</f>
        <v/>
      </c>
      <c r="T754" t="inlineStr">
        <is>
          <t>Yes</t>
        </is>
      </c>
      <c r="U754" t="n">
        <v>46</v>
      </c>
      <c r="V754" t="inlineStr">
        <is>
          <t>Paid</t>
        </is>
      </c>
      <c r="W754" t="n">
        <v>1</v>
      </c>
      <c r="X754" t="inlineStr">
        <is>
          <t>Vehicle Breakdown</t>
        </is>
      </c>
    </row>
    <row r="755">
      <c r="A755" t="inlineStr">
        <is>
          <t>ORD-2026-00754</t>
        </is>
      </c>
      <c r="B755" t="inlineStr">
        <is>
          <t>CUST-0079</t>
        </is>
      </c>
      <c r="C755" s="3" t="n">
        <v>46203</v>
      </c>
      <c r="D755" s="3" t="n">
        <v>46211</v>
      </c>
      <c r="E755" s="3" t="n">
        <v>46212</v>
      </c>
      <c r="F755" t="inlineStr">
        <is>
          <t>Delhi</t>
        </is>
      </c>
      <c r="G755" t="inlineStr">
        <is>
          <t>Hyderabad</t>
        </is>
      </c>
      <c r="H755" t="inlineStr">
        <is>
          <t>Maersk</t>
        </is>
      </c>
      <c r="I755" t="inlineStr">
        <is>
          <t>Refrigerated Truck</t>
        </is>
      </c>
      <c r="J755" t="inlineStr">
        <is>
          <t>Critical</t>
        </is>
      </c>
      <c r="K755" t="inlineStr">
        <is>
          <t>Delivered</t>
        </is>
      </c>
      <c r="L755" t="n">
        <v>1297.15</v>
      </c>
      <c r="M755" t="n">
        <v>2029</v>
      </c>
      <c r="N755" t="n">
        <v>53.81</v>
      </c>
      <c r="O755" t="n">
        <v>7786.56</v>
      </c>
      <c r="P755" t="n">
        <v>39.19</v>
      </c>
      <c r="Q755">
        <f>ROUND(L755*M755*N755/1000+O755+P755,2)</f>
        <v/>
      </c>
      <c r="R755" t="inlineStr">
        <is>
          <t>No</t>
        </is>
      </c>
      <c r="S755">
        <f>IF(OR(E755="",D755=""),"",MAX(0,E755-D755))</f>
        <v/>
      </c>
      <c r="T755" t="inlineStr">
        <is>
          <t>Yes</t>
        </is>
      </c>
      <c r="U755" t="n">
        <v>77</v>
      </c>
      <c r="V755" t="inlineStr">
        <is>
          <t>Pending</t>
        </is>
      </c>
      <c r="W755" t="n">
        <v>5</v>
      </c>
      <c r="X755" t="inlineStr">
        <is>
          <t>Vehicle Breakdown</t>
        </is>
      </c>
    </row>
    <row r="756">
      <c r="A756" t="inlineStr">
        <is>
          <t>ORD-2026-00755</t>
        </is>
      </c>
      <c r="B756" t="inlineStr">
        <is>
          <t>CUST-0054</t>
        </is>
      </c>
      <c r="C756" s="3" t="n">
        <v>46110</v>
      </c>
      <c r="D756" s="3" t="n">
        <v>46116</v>
      </c>
      <c r="E756" s="3" t="n">
        <v>46118</v>
      </c>
      <c r="F756" t="inlineStr">
        <is>
          <t>Hyderabad</t>
        </is>
      </c>
      <c r="G756" t="inlineStr">
        <is>
          <t>Bengaluru</t>
        </is>
      </c>
      <c r="H756" t="inlineStr">
        <is>
          <t>Aramex</t>
        </is>
      </c>
      <c r="I756" t="inlineStr">
        <is>
          <t>Refrigerated Truck</t>
        </is>
      </c>
      <c r="J756" t="inlineStr">
        <is>
          <t>Critical</t>
        </is>
      </c>
      <c r="K756" t="inlineStr">
        <is>
          <t>Delivered</t>
        </is>
      </c>
      <c r="L756" t="n">
        <v>924.23</v>
      </c>
      <c r="M756" t="n">
        <v>1944</v>
      </c>
      <c r="N756" t="n">
        <v>11.6</v>
      </c>
      <c r="O756" t="n">
        <v>1184.33</v>
      </c>
      <c r="P756" t="n">
        <v>637.16</v>
      </c>
      <c r="Q756">
        <f>ROUND(L756*M756*N756/1000+O756+P756,2)</f>
        <v/>
      </c>
      <c r="R756" t="inlineStr">
        <is>
          <t>No</t>
        </is>
      </c>
      <c r="S756">
        <f>IF(OR(E756="",D756=""),"",MAX(0,E756-D756))</f>
        <v/>
      </c>
      <c r="T756" t="inlineStr">
        <is>
          <t>No</t>
        </is>
      </c>
      <c r="U756" t="n">
        <v>72</v>
      </c>
      <c r="V756" t="inlineStr">
        <is>
          <t>COD</t>
        </is>
      </c>
      <c r="W756" t="n">
        <v>5</v>
      </c>
      <c r="X756" t="inlineStr">
        <is>
          <t>Customer Unavailable</t>
        </is>
      </c>
    </row>
    <row r="757">
      <c r="A757" t="inlineStr">
        <is>
          <t>ORD-2026-00756</t>
        </is>
      </c>
      <c r="B757" t="inlineStr">
        <is>
          <t>CUST-0061</t>
        </is>
      </c>
      <c r="C757" s="3" t="n">
        <v>46107</v>
      </c>
      <c r="D757" s="3" t="n">
        <v>46111</v>
      </c>
      <c r="E757" s="3" t="n">
        <v>46116</v>
      </c>
      <c r="F757" t="inlineStr">
        <is>
          <t>Bengaluru</t>
        </is>
      </c>
      <c r="G757" t="inlineStr">
        <is>
          <t>Jaipur</t>
        </is>
      </c>
      <c r="H757" t="inlineStr">
        <is>
          <t>DTDC</t>
        </is>
      </c>
      <c r="I757" t="inlineStr">
        <is>
          <t>Container</t>
        </is>
      </c>
      <c r="J757" t="inlineStr">
        <is>
          <t>Low</t>
        </is>
      </c>
      <c r="K757" t="inlineStr">
        <is>
          <t>Delivered</t>
        </is>
      </c>
      <c r="L757" t="n">
        <v>1954.1</v>
      </c>
      <c r="M757" t="n">
        <v>2349</v>
      </c>
      <c r="N757" t="n">
        <v>63.35</v>
      </c>
      <c r="O757" t="n">
        <v>12717.79</v>
      </c>
      <c r="P757" t="n">
        <v>897.4</v>
      </c>
      <c r="Q757">
        <f>ROUND(L757*M757*N757/1000+O757+P757,2)</f>
        <v/>
      </c>
      <c r="R757" t="inlineStr">
        <is>
          <t>No</t>
        </is>
      </c>
      <c r="S757">
        <f>IF(OR(E757="",D757=""),"",MAX(0,E757-D757))</f>
        <v/>
      </c>
      <c r="T757" t="inlineStr">
        <is>
          <t>No</t>
        </is>
      </c>
      <c r="U757" t="n">
        <v>66</v>
      </c>
      <c r="V757" t="inlineStr">
        <is>
          <t>Paid</t>
        </is>
      </c>
      <c r="W757" t="n">
        <v>4</v>
      </c>
      <c r="X757" t="inlineStr">
        <is>
          <t>Customer Unavailable</t>
        </is>
      </c>
    </row>
    <row r="758">
      <c r="A758" t="inlineStr">
        <is>
          <t>ORD-2026-00757</t>
        </is>
      </c>
      <c r="B758" t="inlineStr">
        <is>
          <t>CUST-0198</t>
        </is>
      </c>
      <c r="C758" s="3" t="n">
        <v>46060</v>
      </c>
      <c r="D758" s="3" t="n">
        <v>46066</v>
      </c>
      <c r="E758" s="3" t="n">
        <v>46066</v>
      </c>
      <c r="F758" t="inlineStr">
        <is>
          <t>Pune</t>
        </is>
      </c>
      <c r="G758" t="inlineStr">
        <is>
          <t>Delhi</t>
        </is>
      </c>
      <c r="H758" t="inlineStr">
        <is>
          <t>FedEx</t>
        </is>
      </c>
      <c r="I758" t="inlineStr">
        <is>
          <t>Van</t>
        </is>
      </c>
      <c r="J758" t="inlineStr">
        <is>
          <t>Critical</t>
        </is>
      </c>
      <c r="K758" t="inlineStr">
        <is>
          <t>Delivered</t>
        </is>
      </c>
      <c r="L758" t="n">
        <v>1506.7</v>
      </c>
      <c r="M758" t="n">
        <v>1094</v>
      </c>
      <c r="N758" t="n">
        <v>11.81</v>
      </c>
      <c r="O758" t="n">
        <v>1039.03</v>
      </c>
      <c r="P758" t="n">
        <v>305.91</v>
      </c>
      <c r="Q758">
        <f>ROUND(L758*M758*N758/1000+O758+P758,2)</f>
        <v/>
      </c>
      <c r="R758" t="inlineStr">
        <is>
          <t>Yes</t>
        </is>
      </c>
      <c r="S758">
        <f>IF(OR(E758="",D758=""),"",MAX(0,E758-D758))</f>
        <v/>
      </c>
      <c r="T758" t="inlineStr">
        <is>
          <t>Yes</t>
        </is>
      </c>
      <c r="U758" t="n">
        <v>29</v>
      </c>
      <c r="V758" t="inlineStr">
        <is>
          <t>Paid</t>
        </is>
      </c>
      <c r="W758" t="n">
        <v>3</v>
      </c>
      <c r="X758" t="inlineStr">
        <is>
          <t>Vehicle Breakdown</t>
        </is>
      </c>
    </row>
    <row r="759">
      <c r="A759" t="inlineStr">
        <is>
          <t>ORD-2026-00758</t>
        </is>
      </c>
      <c r="B759" t="inlineStr">
        <is>
          <t>CUST-0211</t>
        </is>
      </c>
      <c r="C759" s="3" t="n">
        <v>46234</v>
      </c>
      <c r="D759" s="3" t="n">
        <v>46242</v>
      </c>
      <c r="E759" s="3" t="n">
        <v>46243</v>
      </c>
      <c r="F759" t="inlineStr">
        <is>
          <t>Bengaluru</t>
        </is>
      </c>
      <c r="G759" t="inlineStr">
        <is>
          <t>Kolkata</t>
        </is>
      </c>
      <c r="H759" t="inlineStr">
        <is>
          <t>DTDC</t>
        </is>
      </c>
      <c r="I759" t="inlineStr">
        <is>
          <t>Van</t>
        </is>
      </c>
      <c r="J759" t="inlineStr">
        <is>
          <t>High</t>
        </is>
      </c>
      <c r="K759" t="inlineStr">
        <is>
          <t>Delivered</t>
        </is>
      </c>
      <c r="L759" t="n">
        <v>2391.69</v>
      </c>
      <c r="M759" t="n">
        <v>1990</v>
      </c>
      <c r="N759" t="n">
        <v>64.16</v>
      </c>
      <c r="O759" t="n">
        <v>20241.65</v>
      </c>
      <c r="P759" t="n">
        <v>813.74</v>
      </c>
      <c r="Q759">
        <f>ROUND(L759*M759*N759/1000+O759+P759,2)</f>
        <v/>
      </c>
      <c r="R759" t="inlineStr">
        <is>
          <t>No</t>
        </is>
      </c>
      <c r="S759">
        <f>IF(OR(E759="",D759=""),"",MAX(0,E759-D759))</f>
        <v/>
      </c>
      <c r="T759" t="inlineStr">
        <is>
          <t>Yes</t>
        </is>
      </c>
      <c r="U759" t="n">
        <v>25</v>
      </c>
      <c r="V759" t="inlineStr">
        <is>
          <t>COD</t>
        </is>
      </c>
      <c r="W759" t="n">
        <v>2</v>
      </c>
      <c r="X759" t="inlineStr">
        <is>
          <t>Customer Unavailable</t>
        </is>
      </c>
    </row>
    <row r="760">
      <c r="A760" t="inlineStr">
        <is>
          <t>ORD-2026-00759</t>
        </is>
      </c>
      <c r="B760" t="inlineStr">
        <is>
          <t>CUST-0196</t>
        </is>
      </c>
      <c r="C760" s="3" t="n">
        <v>46119</v>
      </c>
      <c r="D760" s="3" t="n">
        <v>46126</v>
      </c>
      <c r="E760" s="3" t="n">
        <v>46127</v>
      </c>
      <c r="F760" t="inlineStr">
        <is>
          <t>Chennai</t>
        </is>
      </c>
      <c r="G760" t="inlineStr">
        <is>
          <t>Mumbai</t>
        </is>
      </c>
      <c r="H760" t="inlineStr">
        <is>
          <t>FedEx</t>
        </is>
      </c>
      <c r="I760" t="inlineStr">
        <is>
          <t>Container</t>
        </is>
      </c>
      <c r="J760" t="inlineStr">
        <is>
          <t>Normal</t>
        </is>
      </c>
      <c r="K760" t="inlineStr">
        <is>
          <t>Delivered</t>
        </is>
      </c>
      <c r="L760" t="n">
        <v>745.79</v>
      </c>
      <c r="M760" t="n">
        <v>841</v>
      </c>
      <c r="N760" t="n">
        <v>16.21</v>
      </c>
      <c r="O760" t="n">
        <v>320.44</v>
      </c>
      <c r="P760" t="n">
        <v>984.42</v>
      </c>
      <c r="Q760">
        <f>ROUND(L760*M760*N760/1000+O760+P760,2)</f>
        <v/>
      </c>
      <c r="R760" t="inlineStr">
        <is>
          <t>No</t>
        </is>
      </c>
      <c r="S760">
        <f>IF(OR(E760="",D760=""),"",MAX(0,E760-D760))</f>
        <v/>
      </c>
      <c r="T760" t="inlineStr">
        <is>
          <t>No</t>
        </is>
      </c>
      <c r="U760" t="n">
        <v>49</v>
      </c>
      <c r="V760" t="inlineStr">
        <is>
          <t>Pending</t>
        </is>
      </c>
      <c r="W760" t="n">
        <v>5</v>
      </c>
      <c r="X760" t="inlineStr">
        <is>
          <t>Weather</t>
        </is>
      </c>
    </row>
    <row r="761">
      <c r="A761" t="inlineStr">
        <is>
          <t>ORD-2026-00760</t>
        </is>
      </c>
      <c r="B761" t="inlineStr">
        <is>
          <t>CUST-0245</t>
        </is>
      </c>
      <c r="C761" s="3" t="n">
        <v>46217</v>
      </c>
      <c r="D761" s="3" t="n">
        <v>46223</v>
      </c>
      <c r="E761" s="3" t="n">
        <v>46223</v>
      </c>
      <c r="F761" t="inlineStr">
        <is>
          <t>Ahmedabad</t>
        </is>
      </c>
      <c r="G761" t="inlineStr">
        <is>
          <t>Mumbai</t>
        </is>
      </c>
      <c r="H761" t="inlineStr">
        <is>
          <t>BlueDart</t>
        </is>
      </c>
      <c r="I761" t="inlineStr">
        <is>
          <t>Refrigerated Truck</t>
        </is>
      </c>
      <c r="J761" t="inlineStr">
        <is>
          <t>Critical</t>
        </is>
      </c>
      <c r="K761" t="inlineStr">
        <is>
          <t>Delivered</t>
        </is>
      </c>
      <c r="L761" t="n">
        <v>690.24</v>
      </c>
      <c r="M761" t="n">
        <v>2489</v>
      </c>
      <c r="N761" t="n">
        <v>33.84</v>
      </c>
      <c r="O761" t="n">
        <v>2312.36</v>
      </c>
      <c r="P761" t="n">
        <v>210.23</v>
      </c>
      <c r="Q761">
        <f>ROUND(L761*M761*N761/1000+O761+P761,2)</f>
        <v/>
      </c>
      <c r="R761" t="inlineStr">
        <is>
          <t>Yes</t>
        </is>
      </c>
      <c r="S761">
        <f>IF(OR(E761="",D761=""),"",MAX(0,E761-D761))</f>
        <v/>
      </c>
      <c r="T761" t="inlineStr">
        <is>
          <t>No</t>
        </is>
      </c>
      <c r="U761" t="n">
        <v>19</v>
      </c>
      <c r="V761" t="inlineStr">
        <is>
          <t>COD</t>
        </is>
      </c>
      <c r="W761" t="n">
        <v>4</v>
      </c>
      <c r="X761" t="inlineStr">
        <is>
          <t>Customs</t>
        </is>
      </c>
    </row>
    <row r="762">
      <c r="A762" t="inlineStr">
        <is>
          <t>ORD-2026-00761</t>
        </is>
      </c>
      <c r="B762" t="inlineStr">
        <is>
          <t>CUST-0011</t>
        </is>
      </c>
      <c r="C762" s="3" t="n">
        <v>46029</v>
      </c>
      <c r="D762" s="3" t="n">
        <v>46036</v>
      </c>
      <c r="E762" s="3" t="n">
        <v>46037</v>
      </c>
      <c r="F762" t="inlineStr">
        <is>
          <t>Surat</t>
        </is>
      </c>
      <c r="G762" t="inlineStr">
        <is>
          <t>Ahmedabad</t>
        </is>
      </c>
      <c r="H762" t="inlineStr">
        <is>
          <t>Maersk</t>
        </is>
      </c>
      <c r="I762" t="inlineStr">
        <is>
          <t>Truck</t>
        </is>
      </c>
      <c r="J762" t="inlineStr">
        <is>
          <t>Critical</t>
        </is>
      </c>
      <c r="K762" t="inlineStr">
        <is>
          <t>Delivered</t>
        </is>
      </c>
      <c r="L762" t="n">
        <v>816.86</v>
      </c>
      <c r="M762" t="n">
        <v>146</v>
      </c>
      <c r="N762" t="n">
        <v>44.69</v>
      </c>
      <c r="O762" t="n">
        <v>263.51</v>
      </c>
      <c r="P762" t="n">
        <v>1139.61</v>
      </c>
      <c r="Q762">
        <f>ROUND(L762*M762*N762/1000+O762+P762,2)</f>
        <v/>
      </c>
      <c r="R762" t="inlineStr">
        <is>
          <t>No</t>
        </is>
      </c>
      <c r="S762">
        <f>IF(OR(E762="",D762=""),"",MAX(0,E762-D762))</f>
        <v/>
      </c>
      <c r="T762" t="inlineStr">
        <is>
          <t>Yes</t>
        </is>
      </c>
      <c r="U762" t="n">
        <v>9</v>
      </c>
      <c r="V762" t="inlineStr">
        <is>
          <t>Pending</t>
        </is>
      </c>
      <c r="W762" t="n">
        <v>2</v>
      </c>
      <c r="X762" t="inlineStr">
        <is>
          <t>None</t>
        </is>
      </c>
    </row>
    <row r="763">
      <c r="A763" t="inlineStr">
        <is>
          <t>ORD-2026-00762</t>
        </is>
      </c>
      <c r="B763" t="inlineStr">
        <is>
          <t>CUST-0127</t>
        </is>
      </c>
      <c r="C763" s="3" t="n">
        <v>46156</v>
      </c>
      <c r="D763" s="3" t="n">
        <v>46159</v>
      </c>
      <c r="E763" s="3" t="n">
        <v>46164</v>
      </c>
      <c r="F763" t="inlineStr">
        <is>
          <t>Chennai</t>
        </is>
      </c>
      <c r="G763" t="inlineStr">
        <is>
          <t>Surat</t>
        </is>
      </c>
      <c r="H763" t="inlineStr">
        <is>
          <t>BlueDart</t>
        </is>
      </c>
      <c r="I763" t="inlineStr">
        <is>
          <t>Bike</t>
        </is>
      </c>
      <c r="J763" t="inlineStr">
        <is>
          <t>Critical</t>
        </is>
      </c>
      <c r="K763" t="inlineStr">
        <is>
          <t>Delivered</t>
        </is>
      </c>
      <c r="L763" t="n">
        <v>1886.77</v>
      </c>
      <c r="M763" t="n">
        <v>1467</v>
      </c>
      <c r="N763" t="n">
        <v>27.28</v>
      </c>
      <c r="O763" t="n">
        <v>4134.71</v>
      </c>
      <c r="P763" t="n">
        <v>1131.26</v>
      </c>
      <c r="Q763">
        <f>ROUND(L763*M763*N763/1000+O763+P763,2)</f>
        <v/>
      </c>
      <c r="R763" t="inlineStr">
        <is>
          <t>No</t>
        </is>
      </c>
      <c r="S763">
        <f>IF(OR(E763="",D763=""),"",MAX(0,E763-D763))</f>
        <v/>
      </c>
      <c r="T763" t="inlineStr">
        <is>
          <t>No</t>
        </is>
      </c>
      <c r="U763" t="n">
        <v>20</v>
      </c>
      <c r="V763" t="inlineStr">
        <is>
          <t>Paid</t>
        </is>
      </c>
      <c r="W763" t="n">
        <v>2</v>
      </c>
      <c r="X763" t="inlineStr">
        <is>
          <t>Weather</t>
        </is>
      </c>
    </row>
    <row r="764">
      <c r="A764" t="inlineStr">
        <is>
          <t>ORD-2026-00763</t>
        </is>
      </c>
      <c r="B764" t="inlineStr">
        <is>
          <t>CUST-0216</t>
        </is>
      </c>
      <c r="C764" s="3" t="n">
        <v>46063</v>
      </c>
      <c r="D764" s="3" t="n">
        <v>46065</v>
      </c>
      <c r="E764" s="3" t="n">
        <v>46067</v>
      </c>
      <c r="F764" t="inlineStr">
        <is>
          <t>Bengaluru</t>
        </is>
      </c>
      <c r="G764" t="inlineStr">
        <is>
          <t>Jaipur</t>
        </is>
      </c>
      <c r="H764" t="inlineStr">
        <is>
          <t>BlueDart</t>
        </is>
      </c>
      <c r="I764" t="inlineStr">
        <is>
          <t>Van</t>
        </is>
      </c>
      <c r="J764" t="inlineStr">
        <is>
          <t>Normal</t>
        </is>
      </c>
      <c r="K764" t="inlineStr">
        <is>
          <t>Delivered</t>
        </is>
      </c>
      <c r="L764" t="n">
        <v>568.88</v>
      </c>
      <c r="M764" t="n">
        <v>236</v>
      </c>
      <c r="N764" t="n">
        <v>44.75</v>
      </c>
      <c r="O764" t="n">
        <v>381.27</v>
      </c>
      <c r="P764" t="n">
        <v>97.67</v>
      </c>
      <c r="Q764">
        <f>ROUND(L764*M764*N764/1000+O764+P764,2)</f>
        <v/>
      </c>
      <c r="R764" t="inlineStr">
        <is>
          <t>No</t>
        </is>
      </c>
      <c r="S764">
        <f>IF(OR(E764="",D764=""),"",MAX(0,E764-D764))</f>
        <v/>
      </c>
      <c r="T764" t="inlineStr">
        <is>
          <t>Yes</t>
        </is>
      </c>
      <c r="U764" t="n">
        <v>20</v>
      </c>
      <c r="V764" t="inlineStr">
        <is>
          <t>Pending</t>
        </is>
      </c>
      <c r="W764" t="n">
        <v>5</v>
      </c>
      <c r="X764" t="inlineStr">
        <is>
          <t>Vehicle Breakdown</t>
        </is>
      </c>
    </row>
    <row r="765">
      <c r="A765" t="inlineStr">
        <is>
          <t>ORD-2026-00764</t>
        </is>
      </c>
      <c r="B765" t="inlineStr">
        <is>
          <t>CUST-0141</t>
        </is>
      </c>
      <c r="C765" s="3" t="n">
        <v>46105</v>
      </c>
      <c r="D765" s="3" t="n">
        <v>46112</v>
      </c>
      <c r="E765" s="3" t="n">
        <v>46114</v>
      </c>
      <c r="F765" t="inlineStr">
        <is>
          <t>Mumbai</t>
        </is>
      </c>
      <c r="G765" t="inlineStr">
        <is>
          <t>Ahmedabad</t>
        </is>
      </c>
      <c r="H765" t="inlineStr">
        <is>
          <t>DHL</t>
        </is>
      </c>
      <c r="I765" t="inlineStr">
        <is>
          <t>Bike</t>
        </is>
      </c>
      <c r="J765" t="inlineStr">
        <is>
          <t>Low</t>
        </is>
      </c>
      <c r="K765" t="inlineStr">
        <is>
          <t>Delivered</t>
        </is>
      </c>
      <c r="L765" t="n">
        <v>48.63</v>
      </c>
      <c r="M765" t="n">
        <v>1191</v>
      </c>
      <c r="N765" t="n">
        <v>36.06</v>
      </c>
      <c r="O765" t="n">
        <v>146.57</v>
      </c>
      <c r="P765" t="n">
        <v>1051.74</v>
      </c>
      <c r="Q765">
        <f>ROUND(L765*M765*N765/1000+O765+P765,2)</f>
        <v/>
      </c>
      <c r="R765" t="inlineStr">
        <is>
          <t>No</t>
        </is>
      </c>
      <c r="S765">
        <f>IF(OR(E765="",D765=""),"",MAX(0,E765-D765))</f>
        <v/>
      </c>
      <c r="T765" t="inlineStr">
        <is>
          <t>Yes</t>
        </is>
      </c>
      <c r="U765" t="n">
        <v>30</v>
      </c>
      <c r="V765" t="inlineStr">
        <is>
          <t>Failed</t>
        </is>
      </c>
      <c r="W765" t="n">
        <v>1</v>
      </c>
      <c r="X765" t="inlineStr">
        <is>
          <t>Vehicle Breakdown</t>
        </is>
      </c>
    </row>
    <row r="766">
      <c r="A766" t="inlineStr">
        <is>
          <t>ORD-2026-00765</t>
        </is>
      </c>
      <c r="B766" t="inlineStr">
        <is>
          <t>CUST-0161</t>
        </is>
      </c>
      <c r="C766" s="3" t="n">
        <v>46202</v>
      </c>
      <c r="D766" s="3" t="n">
        <v>46204</v>
      </c>
      <c r="E766" s="3" t="n">
        <v>46205</v>
      </c>
      <c r="F766" t="inlineStr">
        <is>
          <t>Kolkata</t>
        </is>
      </c>
      <c r="G766" t="inlineStr">
        <is>
          <t>Pune</t>
        </is>
      </c>
      <c r="H766" t="inlineStr">
        <is>
          <t>FedEx</t>
        </is>
      </c>
      <c r="I766" t="inlineStr">
        <is>
          <t>Bike</t>
        </is>
      </c>
      <c r="J766" t="inlineStr">
        <is>
          <t>High</t>
        </is>
      </c>
      <c r="K766" t="inlineStr">
        <is>
          <t>Delivered</t>
        </is>
      </c>
      <c r="L766" t="n">
        <v>2246.5</v>
      </c>
      <c r="M766" t="n">
        <v>677</v>
      </c>
      <c r="N766" t="n">
        <v>30.64</v>
      </c>
      <c r="O766" t="n">
        <v>1823.7</v>
      </c>
      <c r="P766" t="n">
        <v>30.88</v>
      </c>
      <c r="Q766">
        <f>ROUND(L766*M766*N766/1000+O766+P766,2)</f>
        <v/>
      </c>
      <c r="R766" t="inlineStr">
        <is>
          <t>No</t>
        </is>
      </c>
      <c r="S766">
        <f>IF(OR(E766="",D766=""),"",MAX(0,E766-D766))</f>
        <v/>
      </c>
      <c r="T766" t="inlineStr">
        <is>
          <t>No</t>
        </is>
      </c>
      <c r="U766" t="n">
        <v>21</v>
      </c>
      <c r="V766" t="inlineStr">
        <is>
          <t>Pending</t>
        </is>
      </c>
      <c r="W766" t="n">
        <v>5</v>
      </c>
      <c r="X766" t="inlineStr">
        <is>
          <t>Vehicle Breakdown</t>
        </is>
      </c>
    </row>
    <row r="767">
      <c r="A767" t="inlineStr">
        <is>
          <t>ORD-2026-00766</t>
        </is>
      </c>
      <c r="B767" t="inlineStr">
        <is>
          <t>CUST-0172</t>
        </is>
      </c>
      <c r="C767" s="3" t="n">
        <v>46108</v>
      </c>
      <c r="D767" s="3" t="n">
        <v>46112</v>
      </c>
      <c r="E767" s="3" t="n">
        <v>46112</v>
      </c>
      <c r="F767" t="inlineStr">
        <is>
          <t>Surat</t>
        </is>
      </c>
      <c r="G767" t="inlineStr">
        <is>
          <t>Chennai</t>
        </is>
      </c>
      <c r="H767" t="inlineStr">
        <is>
          <t>DHL</t>
        </is>
      </c>
      <c r="I767" t="inlineStr">
        <is>
          <t>Truck</t>
        </is>
      </c>
      <c r="J767" t="inlineStr">
        <is>
          <t>Low</t>
        </is>
      </c>
      <c r="K767" t="inlineStr">
        <is>
          <t>Delivered</t>
        </is>
      </c>
      <c r="L767" t="n">
        <v>298.36</v>
      </c>
      <c r="M767" t="n">
        <v>1173</v>
      </c>
      <c r="N767" t="n">
        <v>33.74</v>
      </c>
      <c r="O767" t="n">
        <v>669.91</v>
      </c>
      <c r="P767" t="n">
        <v>1452.25</v>
      </c>
      <c r="Q767">
        <f>ROUND(L767*M767*N767/1000+O767+P767,2)</f>
        <v/>
      </c>
      <c r="R767" t="inlineStr">
        <is>
          <t>Yes</t>
        </is>
      </c>
      <c r="S767">
        <f>IF(OR(E767="",D767=""),"",MAX(0,E767-D767))</f>
        <v/>
      </c>
      <c r="T767" t="inlineStr">
        <is>
          <t>Yes</t>
        </is>
      </c>
      <c r="U767" t="n">
        <v>50</v>
      </c>
      <c r="V767" t="inlineStr">
        <is>
          <t>Paid</t>
        </is>
      </c>
      <c r="W767" t="n">
        <v>2</v>
      </c>
      <c r="X767" t="inlineStr">
        <is>
          <t>Address Error</t>
        </is>
      </c>
    </row>
    <row r="768">
      <c r="A768" t="inlineStr">
        <is>
          <t>ORD-2026-00767</t>
        </is>
      </c>
      <c r="B768" t="inlineStr">
        <is>
          <t>CUST-0146</t>
        </is>
      </c>
      <c r="C768" s="3" t="n">
        <v>46217</v>
      </c>
      <c r="D768" s="3" t="n">
        <v>46222</v>
      </c>
      <c r="E768" s="3" t="n">
        <v>46225</v>
      </c>
      <c r="F768" t="inlineStr">
        <is>
          <t>Pune</t>
        </is>
      </c>
      <c r="G768" t="inlineStr">
        <is>
          <t>Bengaluru</t>
        </is>
      </c>
      <c r="H768" t="inlineStr">
        <is>
          <t>DTDC</t>
        </is>
      </c>
      <c r="I768" t="inlineStr">
        <is>
          <t>Van</t>
        </is>
      </c>
      <c r="J768" t="inlineStr">
        <is>
          <t>High</t>
        </is>
      </c>
      <c r="K768" t="inlineStr">
        <is>
          <t>Delivered</t>
        </is>
      </c>
      <c r="L768" t="n">
        <v>2216.69</v>
      </c>
      <c r="M768" t="n">
        <v>1247</v>
      </c>
      <c r="N768" t="n">
        <v>28.57</v>
      </c>
      <c r="O768" t="n">
        <v>2626.82</v>
      </c>
      <c r="P768" t="n">
        <v>946.65</v>
      </c>
      <c r="Q768">
        <f>ROUND(L768*M768*N768/1000+O768+P768,2)</f>
        <v/>
      </c>
      <c r="R768" t="inlineStr">
        <is>
          <t>No</t>
        </is>
      </c>
      <c r="S768">
        <f>IF(OR(E768="",D768=""),"",MAX(0,E768-D768))</f>
        <v/>
      </c>
      <c r="T768" t="inlineStr">
        <is>
          <t>Yes</t>
        </is>
      </c>
      <c r="U768" t="n">
        <v>28</v>
      </c>
      <c r="V768" t="inlineStr">
        <is>
          <t>Pending</t>
        </is>
      </c>
      <c r="W768" t="n">
        <v>3</v>
      </c>
      <c r="X768" t="inlineStr">
        <is>
          <t>Address Error</t>
        </is>
      </c>
    </row>
    <row r="769">
      <c r="A769" t="inlineStr">
        <is>
          <t>ORD-2026-00768</t>
        </is>
      </c>
      <c r="B769" t="inlineStr">
        <is>
          <t>CUST-0204</t>
        </is>
      </c>
      <c r="C769" s="3" t="n">
        <v>46150</v>
      </c>
      <c r="D769" s="3" t="n">
        <v>46157</v>
      </c>
      <c r="E769" s="3" t="n">
        <v>46158</v>
      </c>
      <c r="F769" t="inlineStr">
        <is>
          <t>Bengaluru</t>
        </is>
      </c>
      <c r="G769" t="inlineStr">
        <is>
          <t>Mumbai</t>
        </is>
      </c>
      <c r="H769" t="inlineStr">
        <is>
          <t>DTDC</t>
        </is>
      </c>
      <c r="I769" t="inlineStr">
        <is>
          <t>Van</t>
        </is>
      </c>
      <c r="J769" t="inlineStr">
        <is>
          <t>Low</t>
        </is>
      </c>
      <c r="K769" t="inlineStr">
        <is>
          <t>Delivered</t>
        </is>
      </c>
      <c r="L769" t="n">
        <v>977.1900000000001</v>
      </c>
      <c r="M769" t="n">
        <v>681</v>
      </c>
      <c r="N769" t="n">
        <v>60.49</v>
      </c>
      <c r="O769" t="n">
        <v>2367.36</v>
      </c>
      <c r="P769" t="n">
        <v>903.1799999999999</v>
      </c>
      <c r="Q769">
        <f>ROUND(L769*M769*N769/1000+O769+P769,2)</f>
        <v/>
      </c>
      <c r="R769" t="inlineStr">
        <is>
          <t>No</t>
        </is>
      </c>
      <c r="S769">
        <f>IF(OR(E769="",D769=""),"",MAX(0,E769-D769))</f>
        <v/>
      </c>
      <c r="T769" t="inlineStr">
        <is>
          <t>Yes</t>
        </is>
      </c>
      <c r="U769" t="n">
        <v>80</v>
      </c>
      <c r="V769" t="inlineStr">
        <is>
          <t>Paid</t>
        </is>
      </c>
      <c r="W769" t="n">
        <v>1</v>
      </c>
      <c r="X769" t="inlineStr">
        <is>
          <t>Vehicle Breakdown</t>
        </is>
      </c>
    </row>
    <row r="770">
      <c r="A770" t="inlineStr">
        <is>
          <t>ORD-2026-00769</t>
        </is>
      </c>
      <c r="B770" t="inlineStr">
        <is>
          <t>CUST-0109</t>
        </is>
      </c>
      <c r="C770" s="3" t="n">
        <v>46023</v>
      </c>
      <c r="D770" s="3" t="n">
        <v>46028</v>
      </c>
      <c r="E770" s="3" t="n">
        <v>46028</v>
      </c>
      <c r="F770" t="inlineStr">
        <is>
          <t>Hyderabad</t>
        </is>
      </c>
      <c r="G770" t="inlineStr">
        <is>
          <t>Mumbai</t>
        </is>
      </c>
      <c r="H770" t="inlineStr">
        <is>
          <t>FedEx</t>
        </is>
      </c>
      <c r="I770" t="inlineStr">
        <is>
          <t>Container</t>
        </is>
      </c>
      <c r="J770" t="inlineStr">
        <is>
          <t>Low</t>
        </is>
      </c>
      <c r="K770" t="inlineStr">
        <is>
          <t>Delivered</t>
        </is>
      </c>
      <c r="L770" t="n">
        <v>2403.04</v>
      </c>
      <c r="M770" t="n">
        <v>403</v>
      </c>
      <c r="N770" t="n">
        <v>11.05</v>
      </c>
      <c r="O770" t="n">
        <v>459.28</v>
      </c>
      <c r="P770" t="n">
        <v>302.36</v>
      </c>
      <c r="Q770">
        <f>ROUND(L770*M770*N770/1000+O770+P770,2)</f>
        <v/>
      </c>
      <c r="R770" t="inlineStr">
        <is>
          <t>Yes</t>
        </is>
      </c>
      <c r="S770">
        <f>IF(OR(E770="",D770=""),"",MAX(0,E770-D770))</f>
        <v/>
      </c>
      <c r="T770" t="inlineStr">
        <is>
          <t>No</t>
        </is>
      </c>
      <c r="U770" t="n">
        <v>5</v>
      </c>
      <c r="V770" t="inlineStr">
        <is>
          <t>Paid</t>
        </is>
      </c>
      <c r="W770" t="n">
        <v>3</v>
      </c>
      <c r="X770" t="inlineStr">
        <is>
          <t>Address Error</t>
        </is>
      </c>
    </row>
    <row r="771">
      <c r="A771" t="inlineStr">
        <is>
          <t>ORD-2026-00770</t>
        </is>
      </c>
      <c r="B771" t="inlineStr">
        <is>
          <t>CUST-0203</t>
        </is>
      </c>
      <c r="C771" s="3" t="n">
        <v>46090</v>
      </c>
      <c r="D771" s="3" t="n">
        <v>46098</v>
      </c>
      <c r="E771" s="3" t="n">
        <v>46103</v>
      </c>
      <c r="F771" t="inlineStr">
        <is>
          <t>Ahmedabad</t>
        </is>
      </c>
      <c r="G771" t="inlineStr">
        <is>
          <t>Jaipur</t>
        </is>
      </c>
      <c r="H771" t="inlineStr">
        <is>
          <t>DHL</t>
        </is>
      </c>
      <c r="I771" t="inlineStr">
        <is>
          <t>Van</t>
        </is>
      </c>
      <c r="J771" t="inlineStr">
        <is>
          <t>Low</t>
        </is>
      </c>
      <c r="K771" t="inlineStr">
        <is>
          <t>Delivered</t>
        </is>
      </c>
      <c r="L771" t="n">
        <v>2001.49</v>
      </c>
      <c r="M771" t="n">
        <v>843</v>
      </c>
      <c r="N771" t="n">
        <v>14.86</v>
      </c>
      <c r="O771" t="n">
        <v>1710.02</v>
      </c>
      <c r="P771" t="n">
        <v>1429.59</v>
      </c>
      <c r="Q771">
        <f>ROUND(L771*M771*N771/1000+O771+P771,2)</f>
        <v/>
      </c>
      <c r="R771" t="inlineStr">
        <is>
          <t>No</t>
        </is>
      </c>
      <c r="S771">
        <f>IF(OR(E771="",D771=""),"",MAX(0,E771-D771))</f>
        <v/>
      </c>
      <c r="T771" t="inlineStr">
        <is>
          <t>Yes</t>
        </is>
      </c>
      <c r="U771" t="n">
        <v>31</v>
      </c>
      <c r="V771" t="inlineStr">
        <is>
          <t>Failed</t>
        </is>
      </c>
      <c r="W771" t="n">
        <v>5</v>
      </c>
      <c r="X771" t="inlineStr">
        <is>
          <t>Damaged Package</t>
        </is>
      </c>
    </row>
    <row r="772">
      <c r="A772" t="inlineStr">
        <is>
          <t>ORD-2026-00771</t>
        </is>
      </c>
      <c r="B772" t="inlineStr">
        <is>
          <t>CUST-0010</t>
        </is>
      </c>
      <c r="C772" s="3" t="n">
        <v>46165</v>
      </c>
      <c r="D772" s="3" t="n">
        <v>46170</v>
      </c>
      <c r="E772" s="3" t="n">
        <v>46170</v>
      </c>
      <c r="F772" t="inlineStr">
        <is>
          <t>Jaipur</t>
        </is>
      </c>
      <c r="G772" t="inlineStr">
        <is>
          <t>Chennai</t>
        </is>
      </c>
      <c r="H772" t="inlineStr">
        <is>
          <t>Aramex</t>
        </is>
      </c>
      <c r="I772" t="inlineStr">
        <is>
          <t>Container</t>
        </is>
      </c>
      <c r="J772" t="inlineStr">
        <is>
          <t>Critical</t>
        </is>
      </c>
      <c r="K772" t="inlineStr">
        <is>
          <t>Delivered</t>
        </is>
      </c>
      <c r="L772" t="n">
        <v>1199.57</v>
      </c>
      <c r="M772" t="n">
        <v>632</v>
      </c>
      <c r="N772" t="n">
        <v>20.28</v>
      </c>
      <c r="O772" t="n">
        <v>827.97</v>
      </c>
      <c r="P772" t="n">
        <v>578.59</v>
      </c>
      <c r="Q772">
        <f>ROUND(L772*M772*N772/1000+O772+P772,2)</f>
        <v/>
      </c>
      <c r="R772" t="inlineStr">
        <is>
          <t>Yes</t>
        </is>
      </c>
      <c r="S772">
        <f>IF(OR(E772="",D772=""),"",MAX(0,E772-D772))</f>
        <v/>
      </c>
      <c r="T772" t="inlineStr">
        <is>
          <t>Yes</t>
        </is>
      </c>
      <c r="U772" t="n">
        <v>2</v>
      </c>
      <c r="V772" t="inlineStr">
        <is>
          <t>Paid</t>
        </is>
      </c>
      <c r="W772" t="n">
        <v>1</v>
      </c>
      <c r="X772" t="inlineStr">
        <is>
          <t>Customer Unavailable</t>
        </is>
      </c>
    </row>
    <row r="773">
      <c r="A773" t="inlineStr">
        <is>
          <t>ORD-2026-00772</t>
        </is>
      </c>
      <c r="B773" t="inlineStr">
        <is>
          <t>CUST-0115</t>
        </is>
      </c>
      <c r="C773" s="3" t="n">
        <v>46094</v>
      </c>
      <c r="D773" s="3" t="n">
        <v>46099</v>
      </c>
      <c r="E773" s="3" t="n">
        <v>46100</v>
      </c>
      <c r="F773" t="inlineStr">
        <is>
          <t>Ahmedabad</t>
        </is>
      </c>
      <c r="G773" t="inlineStr">
        <is>
          <t>Ahmedabad</t>
        </is>
      </c>
      <c r="H773" t="inlineStr">
        <is>
          <t>Aramex</t>
        </is>
      </c>
      <c r="I773" t="inlineStr">
        <is>
          <t>Bike</t>
        </is>
      </c>
      <c r="J773" t="inlineStr">
        <is>
          <t>Critical</t>
        </is>
      </c>
      <c r="K773" t="inlineStr">
        <is>
          <t>Delivered</t>
        </is>
      </c>
      <c r="L773" t="n">
        <v>668.58</v>
      </c>
      <c r="M773" t="n">
        <v>2754</v>
      </c>
      <c r="N773" t="n">
        <v>23.5</v>
      </c>
      <c r="O773" t="n">
        <v>3561.95</v>
      </c>
      <c r="P773" t="n">
        <v>367.53</v>
      </c>
      <c r="Q773">
        <f>ROUND(L773*M773*N773/1000+O773+P773,2)</f>
        <v/>
      </c>
      <c r="R773" t="inlineStr">
        <is>
          <t>No</t>
        </is>
      </c>
      <c r="S773">
        <f>IF(OR(E773="",D773=""),"",MAX(0,E773-D773))</f>
        <v/>
      </c>
      <c r="T773" t="inlineStr">
        <is>
          <t>No</t>
        </is>
      </c>
      <c r="U773" t="n">
        <v>30</v>
      </c>
      <c r="V773" t="inlineStr">
        <is>
          <t>Paid</t>
        </is>
      </c>
      <c r="W773" t="n">
        <v>3</v>
      </c>
      <c r="X773" t="inlineStr">
        <is>
          <t>Vehicle Breakdown</t>
        </is>
      </c>
    </row>
    <row r="774">
      <c r="A774" t="inlineStr">
        <is>
          <t>ORD-2026-00773</t>
        </is>
      </c>
      <c r="B774" t="inlineStr">
        <is>
          <t>CUST-0083</t>
        </is>
      </c>
      <c r="C774" s="3" t="n">
        <v>46045</v>
      </c>
      <c r="D774" s="3" t="n">
        <v>46051</v>
      </c>
      <c r="E774" s="3" t="n">
        <v>46051</v>
      </c>
      <c r="F774" t="inlineStr">
        <is>
          <t>Hyderabad</t>
        </is>
      </c>
      <c r="G774" t="inlineStr">
        <is>
          <t>Chennai</t>
        </is>
      </c>
      <c r="H774" t="inlineStr">
        <is>
          <t>DHL</t>
        </is>
      </c>
      <c r="I774" t="inlineStr">
        <is>
          <t>Bike</t>
        </is>
      </c>
      <c r="J774" t="inlineStr">
        <is>
          <t>Critical</t>
        </is>
      </c>
      <c r="K774" t="inlineStr">
        <is>
          <t>Delivered</t>
        </is>
      </c>
      <c r="L774" t="n">
        <v>410.15</v>
      </c>
      <c r="M774" t="n">
        <v>2702</v>
      </c>
      <c r="N774" t="n">
        <v>59.4</v>
      </c>
      <c r="O774" t="n">
        <v>4843.13</v>
      </c>
      <c r="P774" t="n">
        <v>820.34</v>
      </c>
      <c r="Q774">
        <f>ROUND(L774*M774*N774/1000+O774+P774,2)</f>
        <v/>
      </c>
      <c r="R774" t="inlineStr">
        <is>
          <t>Yes</t>
        </is>
      </c>
      <c r="S774">
        <f>IF(OR(E774="",D774=""),"",MAX(0,E774-D774))</f>
        <v/>
      </c>
      <c r="T774" t="inlineStr">
        <is>
          <t>No</t>
        </is>
      </c>
      <c r="U774" t="n">
        <v>60</v>
      </c>
      <c r="V774" t="inlineStr">
        <is>
          <t>COD</t>
        </is>
      </c>
      <c r="W774" t="n">
        <v>3</v>
      </c>
      <c r="X774" t="inlineStr">
        <is>
          <t>Address Error</t>
        </is>
      </c>
    </row>
    <row r="775">
      <c r="A775" t="inlineStr">
        <is>
          <t>ORD-2026-00774</t>
        </is>
      </c>
      <c r="B775" t="inlineStr">
        <is>
          <t>CUST-0092</t>
        </is>
      </c>
      <c r="C775" s="3" t="n">
        <v>46231</v>
      </c>
      <c r="D775" s="3" t="n">
        <v>46239</v>
      </c>
      <c r="E775" s="3" t="n">
        <v>46240</v>
      </c>
      <c r="F775" t="inlineStr">
        <is>
          <t>Jaipur</t>
        </is>
      </c>
      <c r="G775" t="inlineStr">
        <is>
          <t>Jaipur</t>
        </is>
      </c>
      <c r="H775" t="inlineStr">
        <is>
          <t>Aramex</t>
        </is>
      </c>
      <c r="I775" t="inlineStr">
        <is>
          <t>Bike</t>
        </is>
      </c>
      <c r="J775" t="inlineStr">
        <is>
          <t>Normal</t>
        </is>
      </c>
      <c r="K775" t="inlineStr">
        <is>
          <t>Delivered</t>
        </is>
      </c>
      <c r="L775" t="n">
        <v>2403.49</v>
      </c>
      <c r="M775" t="n">
        <v>359</v>
      </c>
      <c r="N775" t="n">
        <v>42.32</v>
      </c>
      <c r="O775" t="n">
        <v>3033.98</v>
      </c>
      <c r="P775" t="n">
        <v>512.55</v>
      </c>
      <c r="Q775">
        <f>ROUND(L775*M775*N775/1000+O775+P775,2)</f>
        <v/>
      </c>
      <c r="R775" t="inlineStr">
        <is>
          <t>No</t>
        </is>
      </c>
      <c r="S775">
        <f>IF(OR(E775="",D775=""),"",MAX(0,E775-D775))</f>
        <v/>
      </c>
      <c r="T775" t="inlineStr">
        <is>
          <t>Yes</t>
        </is>
      </c>
      <c r="U775" t="n">
        <v>44</v>
      </c>
      <c r="V775" t="inlineStr">
        <is>
          <t>Pending</t>
        </is>
      </c>
      <c r="W775" t="n">
        <v>5</v>
      </c>
      <c r="X775" t="inlineStr">
        <is>
          <t>Vehicle Breakdown</t>
        </is>
      </c>
    </row>
    <row r="776">
      <c r="A776" t="inlineStr">
        <is>
          <t>ORD-2026-00775</t>
        </is>
      </c>
      <c r="B776" t="inlineStr">
        <is>
          <t>CUST-0226</t>
        </is>
      </c>
      <c r="C776" s="3" t="n">
        <v>46161</v>
      </c>
      <c r="D776" s="3" t="n">
        <v>46164</v>
      </c>
      <c r="E776" s="3" t="n">
        <v>46167</v>
      </c>
      <c r="F776" t="inlineStr">
        <is>
          <t>Mumbai</t>
        </is>
      </c>
      <c r="G776" t="inlineStr">
        <is>
          <t>Surat</t>
        </is>
      </c>
      <c r="H776" t="inlineStr">
        <is>
          <t>DTDC</t>
        </is>
      </c>
      <c r="I776" t="inlineStr">
        <is>
          <t>Van</t>
        </is>
      </c>
      <c r="J776" t="inlineStr">
        <is>
          <t>Low</t>
        </is>
      </c>
      <c r="K776" t="inlineStr">
        <is>
          <t>Delivered</t>
        </is>
      </c>
      <c r="L776" t="n">
        <v>2443.09</v>
      </c>
      <c r="M776" t="n">
        <v>848</v>
      </c>
      <c r="N776" t="n">
        <v>55.01</v>
      </c>
      <c r="O776" t="n">
        <v>6129.23</v>
      </c>
      <c r="P776" t="n">
        <v>1238.7</v>
      </c>
      <c r="Q776">
        <f>ROUND(L776*M776*N776/1000+O776+P776,2)</f>
        <v/>
      </c>
      <c r="R776" t="inlineStr">
        <is>
          <t>No</t>
        </is>
      </c>
      <c r="S776">
        <f>IF(OR(E776="",D776=""),"",MAX(0,E776-D776))</f>
        <v/>
      </c>
      <c r="T776" t="inlineStr">
        <is>
          <t>Yes</t>
        </is>
      </c>
      <c r="U776" t="n">
        <v>33</v>
      </c>
      <c r="V776" t="inlineStr">
        <is>
          <t>Pending</t>
        </is>
      </c>
      <c r="W776" t="n">
        <v>2</v>
      </c>
      <c r="X776" t="inlineStr">
        <is>
          <t>Damaged Package</t>
        </is>
      </c>
    </row>
    <row r="777">
      <c r="A777" t="inlineStr">
        <is>
          <t>ORD-2026-00776</t>
        </is>
      </c>
      <c r="B777" t="inlineStr">
        <is>
          <t>CUST-0101</t>
        </is>
      </c>
      <c r="C777" s="3" t="n">
        <v>46204</v>
      </c>
      <c r="D777" s="3" t="n">
        <v>46210</v>
      </c>
      <c r="E777" s="3" t="n">
        <v>46210</v>
      </c>
      <c r="F777" t="inlineStr">
        <is>
          <t>Bengaluru</t>
        </is>
      </c>
      <c r="G777" t="inlineStr">
        <is>
          <t>Kolkata</t>
        </is>
      </c>
      <c r="H777" t="inlineStr">
        <is>
          <t>FedEx</t>
        </is>
      </c>
      <c r="I777" t="inlineStr">
        <is>
          <t>Container</t>
        </is>
      </c>
      <c r="J777" t="inlineStr">
        <is>
          <t>Low</t>
        </is>
      </c>
      <c r="K777" t="inlineStr">
        <is>
          <t>Delivered</t>
        </is>
      </c>
      <c r="L777" t="n">
        <v>2091.25</v>
      </c>
      <c r="M777" t="n">
        <v>1534</v>
      </c>
      <c r="N777" t="n">
        <v>39.26</v>
      </c>
      <c r="O777" t="n">
        <v>6762.96</v>
      </c>
      <c r="P777" t="n">
        <v>992.2</v>
      </c>
      <c r="Q777">
        <f>ROUND(L777*M777*N777/1000+O777+P777,2)</f>
        <v/>
      </c>
      <c r="R777" t="inlineStr">
        <is>
          <t>Yes</t>
        </is>
      </c>
      <c r="S777">
        <f>IF(OR(E777="",D777=""),"",MAX(0,E777-D777))</f>
        <v/>
      </c>
      <c r="T777" t="inlineStr">
        <is>
          <t>Yes</t>
        </is>
      </c>
      <c r="U777" t="n">
        <v>59</v>
      </c>
      <c r="V777" t="inlineStr">
        <is>
          <t>Pending</t>
        </is>
      </c>
      <c r="W777" t="n">
        <v>2</v>
      </c>
      <c r="X777" t="inlineStr">
        <is>
          <t>Damaged Package</t>
        </is>
      </c>
    </row>
    <row r="778">
      <c r="A778" t="inlineStr">
        <is>
          <t>ORD-2026-00777</t>
        </is>
      </c>
      <c r="B778" t="inlineStr">
        <is>
          <t>CUST-0139</t>
        </is>
      </c>
      <c r="C778" s="3" t="n">
        <v>46023</v>
      </c>
      <c r="D778" s="3" t="n">
        <v>46025</v>
      </c>
      <c r="E778" s="3" t="n">
        <v>46025</v>
      </c>
      <c r="F778" t="inlineStr">
        <is>
          <t>Mumbai</t>
        </is>
      </c>
      <c r="G778" t="inlineStr">
        <is>
          <t>Bengaluru</t>
        </is>
      </c>
      <c r="H778" t="inlineStr">
        <is>
          <t>BlueDart</t>
        </is>
      </c>
      <c r="I778" t="inlineStr">
        <is>
          <t>Van</t>
        </is>
      </c>
      <c r="J778" t="inlineStr">
        <is>
          <t>Low</t>
        </is>
      </c>
      <c r="K778" t="inlineStr">
        <is>
          <t>Delivered</t>
        </is>
      </c>
      <c r="L778" t="n">
        <v>1737.5</v>
      </c>
      <c r="M778" t="n">
        <v>1260</v>
      </c>
      <c r="N778" t="n">
        <v>21.78</v>
      </c>
      <c r="O778" t="n">
        <v>2592.33</v>
      </c>
      <c r="P778" t="n">
        <v>1241.34</v>
      </c>
      <c r="Q778">
        <f>ROUND(L778*M778*N778/1000+O778+P778,2)</f>
        <v/>
      </c>
      <c r="R778" t="inlineStr">
        <is>
          <t>Yes</t>
        </is>
      </c>
      <c r="S778">
        <f>IF(OR(E778="",D778=""),"",MAX(0,E778-D778))</f>
        <v/>
      </c>
      <c r="T778" t="inlineStr">
        <is>
          <t>No</t>
        </is>
      </c>
      <c r="U778" t="n">
        <v>16</v>
      </c>
      <c r="V778" t="inlineStr">
        <is>
          <t>Pending</t>
        </is>
      </c>
      <c r="W778" t="n">
        <v>2</v>
      </c>
      <c r="X778" t="inlineStr">
        <is>
          <t>Customer Unavailable</t>
        </is>
      </c>
    </row>
    <row r="779">
      <c r="A779" t="inlineStr">
        <is>
          <t>ORD-2026-00778</t>
        </is>
      </c>
      <c r="B779" t="inlineStr">
        <is>
          <t>CUST-0088</t>
        </is>
      </c>
      <c r="C779" s="3" t="n">
        <v>46221</v>
      </c>
      <c r="D779" s="3" t="n">
        <v>46223</v>
      </c>
      <c r="E779" s="3" t="n">
        <v>46223</v>
      </c>
      <c r="F779" t="inlineStr">
        <is>
          <t>Chennai</t>
        </is>
      </c>
      <c r="G779" t="inlineStr">
        <is>
          <t>Hyderabad</t>
        </is>
      </c>
      <c r="H779" t="inlineStr">
        <is>
          <t>DHL</t>
        </is>
      </c>
      <c r="I779" t="inlineStr">
        <is>
          <t>Refrigerated Truck</t>
        </is>
      </c>
      <c r="J779" t="inlineStr">
        <is>
          <t>Critical</t>
        </is>
      </c>
      <c r="K779" t="inlineStr">
        <is>
          <t>Delivered</t>
        </is>
      </c>
      <c r="L779" t="n">
        <v>297.82</v>
      </c>
      <c r="M779" t="n">
        <v>1469</v>
      </c>
      <c r="N779" t="n">
        <v>45.71</v>
      </c>
      <c r="O779" t="n">
        <v>612.62</v>
      </c>
      <c r="P779" t="n">
        <v>904.39</v>
      </c>
      <c r="Q779">
        <f>ROUND(L779*M779*N779/1000+O779+P779,2)</f>
        <v/>
      </c>
      <c r="R779" t="inlineStr">
        <is>
          <t>Yes</t>
        </is>
      </c>
      <c r="S779">
        <f>IF(OR(E779="",D779=""),"",MAX(0,E779-D779))</f>
        <v/>
      </c>
      <c r="T779" t="inlineStr">
        <is>
          <t>No</t>
        </is>
      </c>
      <c r="U779" t="n">
        <v>79</v>
      </c>
      <c r="V779" t="inlineStr">
        <is>
          <t>Paid</t>
        </is>
      </c>
      <c r="W779" t="n">
        <v>4</v>
      </c>
      <c r="X779" t="inlineStr">
        <is>
          <t>None</t>
        </is>
      </c>
    </row>
    <row r="780">
      <c r="A780" t="inlineStr">
        <is>
          <t>ORD-2026-00779</t>
        </is>
      </c>
      <c r="B780" t="inlineStr">
        <is>
          <t>CUST-0151</t>
        </is>
      </c>
      <c r="C780" s="3" t="n">
        <v>46150</v>
      </c>
      <c r="D780" s="3" t="n">
        <v>46156</v>
      </c>
      <c r="E780" s="3" t="n">
        <v>46156</v>
      </c>
      <c r="F780" t="inlineStr">
        <is>
          <t>Kolkata</t>
        </is>
      </c>
      <c r="G780" t="inlineStr">
        <is>
          <t>Hyderabad</t>
        </is>
      </c>
      <c r="H780" t="inlineStr">
        <is>
          <t>Maersk</t>
        </is>
      </c>
      <c r="I780" t="inlineStr">
        <is>
          <t>Container</t>
        </is>
      </c>
      <c r="J780" t="inlineStr">
        <is>
          <t>Low</t>
        </is>
      </c>
      <c r="K780" t="inlineStr">
        <is>
          <t>Delivered</t>
        </is>
      </c>
      <c r="L780" t="n">
        <v>1184.26</v>
      </c>
      <c r="M780" t="n">
        <v>1576</v>
      </c>
      <c r="N780" t="n">
        <v>50.92</v>
      </c>
      <c r="O780" t="n">
        <v>7240.59</v>
      </c>
      <c r="P780" t="n">
        <v>645.6</v>
      </c>
      <c r="Q780">
        <f>ROUND(L780*M780*N780/1000+O780+P780,2)</f>
        <v/>
      </c>
      <c r="R780" t="inlineStr">
        <is>
          <t>Yes</t>
        </is>
      </c>
      <c r="S780">
        <f>IF(OR(E780="",D780=""),"",MAX(0,E780-D780))</f>
        <v/>
      </c>
      <c r="T780" t="inlineStr">
        <is>
          <t>No</t>
        </is>
      </c>
      <c r="U780" t="n">
        <v>5</v>
      </c>
      <c r="V780" t="inlineStr">
        <is>
          <t>Failed</t>
        </is>
      </c>
      <c r="W780" t="n">
        <v>1</v>
      </c>
      <c r="X780" t="inlineStr">
        <is>
          <t>Weather</t>
        </is>
      </c>
    </row>
    <row r="781">
      <c r="A781" t="inlineStr">
        <is>
          <t>ORD-2026-00780</t>
        </is>
      </c>
      <c r="B781" t="inlineStr">
        <is>
          <t>CUST-0121</t>
        </is>
      </c>
      <c r="C781" s="3" t="n">
        <v>46087</v>
      </c>
      <c r="D781" s="3" t="n">
        <v>46089</v>
      </c>
      <c r="E781" s="3" t="n">
        <v>46089</v>
      </c>
      <c r="F781" t="inlineStr">
        <is>
          <t>Ahmedabad</t>
        </is>
      </c>
      <c r="G781" t="inlineStr">
        <is>
          <t>Hyderabad</t>
        </is>
      </c>
      <c r="H781" t="inlineStr">
        <is>
          <t>FedEx</t>
        </is>
      </c>
      <c r="I781" t="inlineStr">
        <is>
          <t>Bike</t>
        </is>
      </c>
      <c r="J781" t="inlineStr">
        <is>
          <t>Critical</t>
        </is>
      </c>
      <c r="K781" t="inlineStr">
        <is>
          <t>Delivered</t>
        </is>
      </c>
      <c r="L781" t="n">
        <v>1789.16</v>
      </c>
      <c r="M781" t="n">
        <v>390</v>
      </c>
      <c r="N781" t="n">
        <v>33.92</v>
      </c>
      <c r="O781" t="n">
        <v>1773.79</v>
      </c>
      <c r="P781" t="n">
        <v>377.24</v>
      </c>
      <c r="Q781">
        <f>ROUND(L781*M781*N781/1000+O781+P781,2)</f>
        <v/>
      </c>
      <c r="R781" t="inlineStr">
        <is>
          <t>Yes</t>
        </is>
      </c>
      <c r="S781">
        <f>IF(OR(E781="",D781=""),"",MAX(0,E781-D781))</f>
        <v/>
      </c>
      <c r="T781" t="inlineStr">
        <is>
          <t>Yes</t>
        </is>
      </c>
      <c r="U781" t="n">
        <v>79</v>
      </c>
      <c r="V781" t="inlineStr">
        <is>
          <t>Failed</t>
        </is>
      </c>
      <c r="W781" t="n">
        <v>1</v>
      </c>
      <c r="X781" t="inlineStr">
        <is>
          <t>None</t>
        </is>
      </c>
    </row>
    <row r="782">
      <c r="A782" t="inlineStr">
        <is>
          <t>ORD-2026-00781</t>
        </is>
      </c>
      <c r="B782" t="inlineStr">
        <is>
          <t>CUST-0179</t>
        </is>
      </c>
      <c r="C782" s="3" t="n">
        <v>46198</v>
      </c>
      <c r="D782" s="3" t="n">
        <v>46201</v>
      </c>
      <c r="E782" s="3" t="n">
        <v>46202</v>
      </c>
      <c r="F782" t="inlineStr">
        <is>
          <t>Kolkata</t>
        </is>
      </c>
      <c r="G782" t="inlineStr">
        <is>
          <t>Chennai</t>
        </is>
      </c>
      <c r="H782" t="inlineStr">
        <is>
          <t>Aramex</t>
        </is>
      </c>
      <c r="I782" t="inlineStr">
        <is>
          <t>Bike</t>
        </is>
      </c>
      <c r="J782" t="inlineStr">
        <is>
          <t>Low</t>
        </is>
      </c>
      <c r="K782" t="inlineStr">
        <is>
          <t>Delivered</t>
        </is>
      </c>
      <c r="L782" t="n">
        <v>71.08</v>
      </c>
      <c r="M782" t="n">
        <v>2078</v>
      </c>
      <c r="N782" t="n">
        <v>33.33</v>
      </c>
      <c r="O782" t="n">
        <v>295.99</v>
      </c>
      <c r="P782" t="n">
        <v>705.51</v>
      </c>
      <c r="Q782">
        <f>ROUND(L782*M782*N782/1000+O782+P782,2)</f>
        <v/>
      </c>
      <c r="R782" t="inlineStr">
        <is>
          <t>No</t>
        </is>
      </c>
      <c r="S782">
        <f>IF(OR(E782="",D782=""),"",MAX(0,E782-D782))</f>
        <v/>
      </c>
      <c r="T782" t="inlineStr">
        <is>
          <t>No</t>
        </is>
      </c>
      <c r="U782" t="n">
        <v>75</v>
      </c>
      <c r="V782" t="inlineStr">
        <is>
          <t>Paid</t>
        </is>
      </c>
      <c r="W782" t="n">
        <v>5</v>
      </c>
      <c r="X782" t="inlineStr">
        <is>
          <t>Weather</t>
        </is>
      </c>
    </row>
    <row r="783">
      <c r="A783" t="inlineStr">
        <is>
          <t>ORD-2026-00782</t>
        </is>
      </c>
      <c r="B783" t="inlineStr">
        <is>
          <t>CUST-0020</t>
        </is>
      </c>
      <c r="C783" s="3" t="n">
        <v>46067</v>
      </c>
      <c r="D783" s="3" t="n">
        <v>46075</v>
      </c>
      <c r="E783" s="3" t="n">
        <v>46075</v>
      </c>
      <c r="F783" t="inlineStr">
        <is>
          <t>Bengaluru</t>
        </is>
      </c>
      <c r="G783" t="inlineStr">
        <is>
          <t>Jaipur</t>
        </is>
      </c>
      <c r="H783" t="inlineStr">
        <is>
          <t>Delhivery</t>
        </is>
      </c>
      <c r="I783" t="inlineStr">
        <is>
          <t>Truck</t>
        </is>
      </c>
      <c r="J783" t="inlineStr">
        <is>
          <t>Low</t>
        </is>
      </c>
      <c r="K783" t="inlineStr">
        <is>
          <t>Delivered</t>
        </is>
      </c>
      <c r="L783" t="n">
        <v>726.0700000000001</v>
      </c>
      <c r="M783" t="n">
        <v>1362</v>
      </c>
      <c r="N783" t="n">
        <v>32.32</v>
      </c>
      <c r="O783" t="n">
        <v>2275.93</v>
      </c>
      <c r="P783" t="n">
        <v>1453.48</v>
      </c>
      <c r="Q783">
        <f>ROUND(L783*M783*N783/1000+O783+P783,2)</f>
        <v/>
      </c>
      <c r="R783" t="inlineStr">
        <is>
          <t>Yes</t>
        </is>
      </c>
      <c r="S783">
        <f>IF(OR(E783="",D783=""),"",MAX(0,E783-D783))</f>
        <v/>
      </c>
      <c r="T783" t="inlineStr">
        <is>
          <t>No</t>
        </is>
      </c>
      <c r="U783" t="n">
        <v>23</v>
      </c>
      <c r="V783" t="inlineStr">
        <is>
          <t>Failed</t>
        </is>
      </c>
      <c r="W783" t="n">
        <v>1</v>
      </c>
      <c r="X783" t="inlineStr">
        <is>
          <t>Vehicle Breakdown</t>
        </is>
      </c>
    </row>
    <row r="784">
      <c r="A784" t="inlineStr">
        <is>
          <t>ORD-2026-00783</t>
        </is>
      </c>
      <c r="B784" t="inlineStr">
        <is>
          <t>CUST-0030</t>
        </is>
      </c>
      <c r="C784" s="3" t="n">
        <v>46069</v>
      </c>
      <c r="D784" s="3" t="n">
        <v>46073</v>
      </c>
      <c r="E784" s="3" t="n">
        <v>46073</v>
      </c>
      <c r="F784" t="inlineStr">
        <is>
          <t>Mumbai</t>
        </is>
      </c>
      <c r="G784" t="inlineStr">
        <is>
          <t>Delhi</t>
        </is>
      </c>
      <c r="H784" t="inlineStr">
        <is>
          <t>DHL</t>
        </is>
      </c>
      <c r="I784" t="inlineStr">
        <is>
          <t>Truck</t>
        </is>
      </c>
      <c r="J784" t="inlineStr">
        <is>
          <t>Low</t>
        </is>
      </c>
      <c r="K784" t="inlineStr">
        <is>
          <t>Delivered</t>
        </is>
      </c>
      <c r="L784" t="n">
        <v>2113.92</v>
      </c>
      <c r="M784" t="n">
        <v>941</v>
      </c>
      <c r="N784" t="n">
        <v>48.69</v>
      </c>
      <c r="O784" t="n">
        <v>7603.54</v>
      </c>
      <c r="P784" t="n">
        <v>1423.1</v>
      </c>
      <c r="Q784">
        <f>ROUND(L784*M784*N784/1000+O784+P784,2)</f>
        <v/>
      </c>
      <c r="R784" t="inlineStr">
        <is>
          <t>Yes</t>
        </is>
      </c>
      <c r="S784">
        <f>IF(OR(E784="",D784=""),"",MAX(0,E784-D784))</f>
        <v/>
      </c>
      <c r="T784" t="inlineStr">
        <is>
          <t>No</t>
        </is>
      </c>
      <c r="U784" t="n">
        <v>64</v>
      </c>
      <c r="V784" t="inlineStr">
        <is>
          <t>COD</t>
        </is>
      </c>
      <c r="W784" t="n">
        <v>4</v>
      </c>
      <c r="X784" t="inlineStr">
        <is>
          <t>None</t>
        </is>
      </c>
    </row>
    <row r="785">
      <c r="A785" t="inlineStr">
        <is>
          <t>ORD-2026-00784</t>
        </is>
      </c>
      <c r="B785" t="inlineStr">
        <is>
          <t>CUST-0023</t>
        </is>
      </c>
      <c r="C785" s="3" t="n">
        <v>46204</v>
      </c>
      <c r="D785" s="3" t="n">
        <v>46210</v>
      </c>
      <c r="E785" s="3" t="n">
        <v>46211</v>
      </c>
      <c r="F785" t="inlineStr">
        <is>
          <t>Pune</t>
        </is>
      </c>
      <c r="G785" t="inlineStr">
        <is>
          <t>Hyderabad</t>
        </is>
      </c>
      <c r="H785" t="inlineStr">
        <is>
          <t>Delhivery</t>
        </is>
      </c>
      <c r="I785" t="inlineStr">
        <is>
          <t>Container</t>
        </is>
      </c>
      <c r="J785" t="inlineStr">
        <is>
          <t>Normal</t>
        </is>
      </c>
      <c r="K785" t="inlineStr">
        <is>
          <t>Delivered</t>
        </is>
      </c>
      <c r="L785" t="n">
        <v>1184.41</v>
      </c>
      <c r="M785" t="n">
        <v>1147</v>
      </c>
      <c r="N785" t="n">
        <v>32.87</v>
      </c>
      <c r="O785" t="n">
        <v>3220.61</v>
      </c>
      <c r="P785" t="n">
        <v>119.07</v>
      </c>
      <c r="Q785">
        <f>ROUND(L785*M785*N785/1000+O785+P785,2)</f>
        <v/>
      </c>
      <c r="R785" t="inlineStr">
        <is>
          <t>No</t>
        </is>
      </c>
      <c r="S785">
        <f>IF(OR(E785="",D785=""),"",MAX(0,E785-D785))</f>
        <v/>
      </c>
      <c r="T785" t="inlineStr">
        <is>
          <t>Yes</t>
        </is>
      </c>
      <c r="U785" t="n">
        <v>16</v>
      </c>
      <c r="V785" t="inlineStr">
        <is>
          <t>Paid</t>
        </is>
      </c>
      <c r="W785" t="n">
        <v>2</v>
      </c>
      <c r="X785" t="inlineStr">
        <is>
          <t>None</t>
        </is>
      </c>
    </row>
    <row r="786">
      <c r="A786" t="inlineStr">
        <is>
          <t>ORD-2026-00785</t>
        </is>
      </c>
      <c r="B786" t="inlineStr">
        <is>
          <t>CUST-0169</t>
        </is>
      </c>
      <c r="C786" s="3" t="n">
        <v>46169</v>
      </c>
      <c r="D786" s="3" t="n">
        <v>46172</v>
      </c>
      <c r="E786" s="3" t="n">
        <v>46173</v>
      </c>
      <c r="F786" t="inlineStr">
        <is>
          <t>Delhi</t>
        </is>
      </c>
      <c r="G786" t="inlineStr">
        <is>
          <t>Kolkata</t>
        </is>
      </c>
      <c r="H786" t="inlineStr">
        <is>
          <t>Delhivery</t>
        </is>
      </c>
      <c r="I786" t="inlineStr">
        <is>
          <t>Van</t>
        </is>
      </c>
      <c r="J786" t="inlineStr">
        <is>
          <t>Low</t>
        </is>
      </c>
      <c r="K786" t="inlineStr">
        <is>
          <t>Delivered</t>
        </is>
      </c>
      <c r="L786" t="n">
        <v>2491.3</v>
      </c>
      <c r="M786" t="n">
        <v>1534</v>
      </c>
      <c r="N786" t="n">
        <v>39.77</v>
      </c>
      <c r="O786" t="n">
        <v>8917.51</v>
      </c>
      <c r="P786" t="n">
        <v>1456.88</v>
      </c>
      <c r="Q786">
        <f>ROUND(L786*M786*N786/1000+O786+P786,2)</f>
        <v/>
      </c>
      <c r="R786" t="inlineStr">
        <is>
          <t>No</t>
        </is>
      </c>
      <c r="S786">
        <f>IF(OR(E786="",D786=""),"",MAX(0,E786-D786))</f>
        <v/>
      </c>
      <c r="T786" t="inlineStr">
        <is>
          <t>Yes</t>
        </is>
      </c>
      <c r="U786" t="n">
        <v>26</v>
      </c>
      <c r="V786" t="inlineStr">
        <is>
          <t>Pending</t>
        </is>
      </c>
      <c r="W786" t="n">
        <v>3</v>
      </c>
      <c r="X786" t="inlineStr">
        <is>
          <t>Address Error</t>
        </is>
      </c>
    </row>
    <row r="787">
      <c r="A787" t="inlineStr">
        <is>
          <t>ORD-2026-00786</t>
        </is>
      </c>
      <c r="B787" t="inlineStr">
        <is>
          <t>CUST-0208</t>
        </is>
      </c>
      <c r="C787" s="3" t="n">
        <v>46214</v>
      </c>
      <c r="D787" s="3" t="n">
        <v>46221</v>
      </c>
      <c r="E787" s="3" t="n"/>
      <c r="F787" t="inlineStr">
        <is>
          <t>Delhi</t>
        </is>
      </c>
      <c r="G787" t="inlineStr">
        <is>
          <t>Hyderabad</t>
        </is>
      </c>
      <c r="H787" t="inlineStr">
        <is>
          <t>DHL</t>
        </is>
      </c>
      <c r="I787" t="inlineStr">
        <is>
          <t>Container</t>
        </is>
      </c>
      <c r="J787" t="inlineStr">
        <is>
          <t>Normal</t>
        </is>
      </c>
      <c r="K787" t="inlineStr">
        <is>
          <t>In Transit</t>
        </is>
      </c>
      <c r="L787" t="n">
        <v>282.33</v>
      </c>
      <c r="M787" t="n">
        <v>2732</v>
      </c>
      <c r="N787" t="n">
        <v>23.16</v>
      </c>
      <c r="O787" t="n">
        <v>1104.55</v>
      </c>
      <c r="P787" t="n">
        <v>468.95</v>
      </c>
      <c r="Q787">
        <f>ROUND(L787*M787*N787/1000+O787+P787,2)</f>
        <v/>
      </c>
      <c r="R787" t="inlineStr">
        <is>
          <t>No</t>
        </is>
      </c>
      <c r="S787">
        <f>IF(OR(E787="",D787=""),"",MAX(0,E787-D787))</f>
        <v/>
      </c>
      <c r="T787" t="inlineStr">
        <is>
          <t>Yes</t>
        </is>
      </c>
      <c r="U787" t="n">
        <v>61</v>
      </c>
      <c r="V787" t="inlineStr">
        <is>
          <t>Failed</t>
        </is>
      </c>
      <c r="W787" t="n">
        <v>4</v>
      </c>
      <c r="X787" t="inlineStr">
        <is>
          <t>Address Error</t>
        </is>
      </c>
    </row>
    <row r="788">
      <c r="A788" t="inlineStr">
        <is>
          <t>ORD-2026-00787</t>
        </is>
      </c>
      <c r="B788" t="inlineStr">
        <is>
          <t>CUST-0221</t>
        </is>
      </c>
      <c r="C788" s="3" t="n">
        <v>46048</v>
      </c>
      <c r="D788" s="3" t="n">
        <v>46051</v>
      </c>
      <c r="E788" s="3" t="n">
        <v>46051</v>
      </c>
      <c r="F788" t="inlineStr">
        <is>
          <t>Mumbai</t>
        </is>
      </c>
      <c r="G788" t="inlineStr">
        <is>
          <t>Jaipur</t>
        </is>
      </c>
      <c r="H788" t="inlineStr">
        <is>
          <t>DTDC</t>
        </is>
      </c>
      <c r="I788" t="inlineStr">
        <is>
          <t>Van</t>
        </is>
      </c>
      <c r="J788" t="inlineStr">
        <is>
          <t>Normal</t>
        </is>
      </c>
      <c r="K788" t="inlineStr">
        <is>
          <t>Delivered</t>
        </is>
      </c>
      <c r="L788" t="n">
        <v>1353.74</v>
      </c>
      <c r="M788" t="n">
        <v>295</v>
      </c>
      <c r="N788" t="n">
        <v>16.33</v>
      </c>
      <c r="O788" t="n">
        <v>245.32</v>
      </c>
      <c r="P788" t="n">
        <v>774.6</v>
      </c>
      <c r="Q788">
        <f>ROUND(L788*M788*N788/1000+O788+P788,2)</f>
        <v/>
      </c>
      <c r="R788" t="inlineStr">
        <is>
          <t>Yes</t>
        </is>
      </c>
      <c r="S788">
        <f>IF(OR(E788="",D788=""),"",MAX(0,E788-D788))</f>
        <v/>
      </c>
      <c r="T788" t="inlineStr">
        <is>
          <t>Yes</t>
        </is>
      </c>
      <c r="U788" t="n">
        <v>53</v>
      </c>
      <c r="V788" t="inlineStr">
        <is>
          <t>COD</t>
        </is>
      </c>
      <c r="W788" t="n">
        <v>2</v>
      </c>
      <c r="X788" t="inlineStr">
        <is>
          <t>Customer Unavailable</t>
        </is>
      </c>
    </row>
    <row r="789">
      <c r="A789" t="inlineStr">
        <is>
          <t>ORD-2026-00788</t>
        </is>
      </c>
      <c r="B789" t="inlineStr">
        <is>
          <t>CUST-0101</t>
        </is>
      </c>
      <c r="C789" s="3" t="n">
        <v>46090</v>
      </c>
      <c r="D789" s="3" t="n">
        <v>46097</v>
      </c>
      <c r="E789" s="3" t="n">
        <v>46097</v>
      </c>
      <c r="F789" t="inlineStr">
        <is>
          <t>Jaipur</t>
        </is>
      </c>
      <c r="G789" t="inlineStr">
        <is>
          <t>Kolkata</t>
        </is>
      </c>
      <c r="H789" t="inlineStr">
        <is>
          <t>Aramex</t>
        </is>
      </c>
      <c r="I789" t="inlineStr">
        <is>
          <t>Truck</t>
        </is>
      </c>
      <c r="J789" t="inlineStr">
        <is>
          <t>Normal</t>
        </is>
      </c>
      <c r="K789" t="inlineStr">
        <is>
          <t>Delivered</t>
        </is>
      </c>
      <c r="L789" t="n">
        <v>2176.74</v>
      </c>
      <c r="M789" t="n">
        <v>1621</v>
      </c>
      <c r="N789" t="n">
        <v>9.58</v>
      </c>
      <c r="O789" t="n">
        <v>2376.33</v>
      </c>
      <c r="P789" t="n">
        <v>1397.55</v>
      </c>
      <c r="Q789">
        <f>ROUND(L789*M789*N789/1000+O789+P789,2)</f>
        <v/>
      </c>
      <c r="R789" t="inlineStr">
        <is>
          <t>Yes</t>
        </is>
      </c>
      <c r="S789">
        <f>IF(OR(E789="",D789=""),"",MAX(0,E789-D789))</f>
        <v/>
      </c>
      <c r="T789" t="inlineStr">
        <is>
          <t>No</t>
        </is>
      </c>
      <c r="U789" t="n">
        <v>79</v>
      </c>
      <c r="V789" t="inlineStr">
        <is>
          <t>Failed</t>
        </is>
      </c>
      <c r="W789" t="n">
        <v>2</v>
      </c>
      <c r="X789" t="inlineStr">
        <is>
          <t>Address Error</t>
        </is>
      </c>
    </row>
    <row r="790">
      <c r="A790" t="inlineStr">
        <is>
          <t>ORD-2026-00789</t>
        </is>
      </c>
      <c r="B790" t="inlineStr">
        <is>
          <t>CUST-0165</t>
        </is>
      </c>
      <c r="C790" s="3" t="n">
        <v>46176</v>
      </c>
      <c r="D790" s="3" t="n">
        <v>46181</v>
      </c>
      <c r="E790" s="3" t="n"/>
      <c r="F790" t="inlineStr">
        <is>
          <t>Ahmedabad</t>
        </is>
      </c>
      <c r="G790" t="inlineStr">
        <is>
          <t>Hyderabad</t>
        </is>
      </c>
      <c r="H790" t="inlineStr">
        <is>
          <t>FedEx</t>
        </is>
      </c>
      <c r="I790" t="inlineStr">
        <is>
          <t>Container</t>
        </is>
      </c>
      <c r="J790" t="inlineStr">
        <is>
          <t>High</t>
        </is>
      </c>
      <c r="K790" t="inlineStr">
        <is>
          <t>In Transit</t>
        </is>
      </c>
      <c r="L790" t="n">
        <v>1043.58</v>
      </c>
      <c r="M790" t="n">
        <v>2305</v>
      </c>
      <c r="N790" t="n">
        <v>12.84</v>
      </c>
      <c r="O790" t="n">
        <v>2578.95</v>
      </c>
      <c r="P790" t="n">
        <v>235.43</v>
      </c>
      <c r="Q790">
        <f>ROUND(L790*M790*N790/1000+O790+P790,2)</f>
        <v/>
      </c>
      <c r="R790" t="inlineStr">
        <is>
          <t>No</t>
        </is>
      </c>
      <c r="S790">
        <f>IF(OR(E790="",D790=""),"",MAX(0,E790-D790))</f>
        <v/>
      </c>
      <c r="T790" t="inlineStr">
        <is>
          <t>No</t>
        </is>
      </c>
      <c r="U790" t="n">
        <v>44</v>
      </c>
      <c r="V790" t="inlineStr">
        <is>
          <t>COD</t>
        </is>
      </c>
      <c r="W790" t="n">
        <v>5</v>
      </c>
      <c r="X790" t="inlineStr">
        <is>
          <t>Customs</t>
        </is>
      </c>
    </row>
    <row r="791">
      <c r="A791" t="inlineStr">
        <is>
          <t>ORD-2026-00790</t>
        </is>
      </c>
      <c r="B791" t="inlineStr">
        <is>
          <t>CUST-0170</t>
        </is>
      </c>
      <c r="C791" s="3" t="n">
        <v>46106</v>
      </c>
      <c r="D791" s="3" t="n">
        <v>46111</v>
      </c>
      <c r="E791" s="3" t="n">
        <v>46114</v>
      </c>
      <c r="F791" t="inlineStr">
        <is>
          <t>Kolkata</t>
        </is>
      </c>
      <c r="G791" t="inlineStr">
        <is>
          <t>Delhi</t>
        </is>
      </c>
      <c r="H791" t="inlineStr">
        <is>
          <t>Delhivery</t>
        </is>
      </c>
      <c r="I791" t="inlineStr">
        <is>
          <t>Refrigerated Truck</t>
        </is>
      </c>
      <c r="J791" t="inlineStr">
        <is>
          <t>Low</t>
        </is>
      </c>
      <c r="K791" t="inlineStr">
        <is>
          <t>Delivered</t>
        </is>
      </c>
      <c r="L791" t="n">
        <v>1219.72</v>
      </c>
      <c r="M791" t="n">
        <v>2419</v>
      </c>
      <c r="N791" t="n">
        <v>47.63</v>
      </c>
      <c r="O791" t="n">
        <v>12002.49</v>
      </c>
      <c r="P791" t="n">
        <v>915.7</v>
      </c>
      <c r="Q791">
        <f>ROUND(L791*M791*N791/1000+O791+P791,2)</f>
        <v/>
      </c>
      <c r="R791" t="inlineStr">
        <is>
          <t>No</t>
        </is>
      </c>
      <c r="S791">
        <f>IF(OR(E791="",D791=""),"",MAX(0,E791-D791))</f>
        <v/>
      </c>
      <c r="T791" t="inlineStr">
        <is>
          <t>No</t>
        </is>
      </c>
      <c r="U791" t="n">
        <v>44</v>
      </c>
      <c r="V791" t="inlineStr">
        <is>
          <t>Paid</t>
        </is>
      </c>
      <c r="W791" t="n">
        <v>3</v>
      </c>
      <c r="X791" t="inlineStr">
        <is>
          <t>Damaged Package</t>
        </is>
      </c>
    </row>
    <row r="792">
      <c r="A792" t="inlineStr">
        <is>
          <t>ORD-2026-00791</t>
        </is>
      </c>
      <c r="B792" t="inlineStr">
        <is>
          <t>CUST-0079</t>
        </is>
      </c>
      <c r="C792" s="3" t="n">
        <v>46091</v>
      </c>
      <c r="D792" s="3" t="n">
        <v>46096</v>
      </c>
      <c r="E792" s="3" t="n">
        <v>46099</v>
      </c>
      <c r="F792" t="inlineStr">
        <is>
          <t>Bengaluru</t>
        </is>
      </c>
      <c r="G792" t="inlineStr">
        <is>
          <t>Hyderabad</t>
        </is>
      </c>
      <c r="H792" t="inlineStr">
        <is>
          <t>DTDC</t>
        </is>
      </c>
      <c r="I792" t="inlineStr">
        <is>
          <t>Container</t>
        </is>
      </c>
      <c r="J792" t="inlineStr">
        <is>
          <t>High</t>
        </is>
      </c>
      <c r="K792" t="inlineStr">
        <is>
          <t>Delivered</t>
        </is>
      </c>
      <c r="L792" t="n">
        <v>569.99</v>
      </c>
      <c r="M792" t="n">
        <v>1332</v>
      </c>
      <c r="N792" t="n">
        <v>59.71</v>
      </c>
      <c r="O792" t="n">
        <v>2899.57</v>
      </c>
      <c r="P792" t="n">
        <v>535.8</v>
      </c>
      <c r="Q792">
        <f>ROUND(L792*M792*N792/1000+O792+P792,2)</f>
        <v/>
      </c>
      <c r="R792" t="inlineStr">
        <is>
          <t>No</t>
        </is>
      </c>
      <c r="S792">
        <f>IF(OR(E792="",D792=""),"",MAX(0,E792-D792))</f>
        <v/>
      </c>
      <c r="T792" t="inlineStr">
        <is>
          <t>No</t>
        </is>
      </c>
      <c r="U792" t="n">
        <v>77</v>
      </c>
      <c r="V792" t="inlineStr">
        <is>
          <t>Failed</t>
        </is>
      </c>
      <c r="W792" t="n">
        <v>2</v>
      </c>
      <c r="X792" t="inlineStr">
        <is>
          <t>Customer Unavailable</t>
        </is>
      </c>
    </row>
    <row r="793">
      <c r="A793" t="inlineStr">
        <is>
          <t>ORD-2026-00792</t>
        </is>
      </c>
      <c r="B793" t="inlineStr">
        <is>
          <t>CUST-0119</t>
        </is>
      </c>
      <c r="C793" s="3" t="n">
        <v>46179</v>
      </c>
      <c r="D793" s="3" t="n">
        <v>46182</v>
      </c>
      <c r="E793" s="3" t="n">
        <v>46184</v>
      </c>
      <c r="F793" t="inlineStr">
        <is>
          <t>Kolkata</t>
        </is>
      </c>
      <c r="G793" t="inlineStr">
        <is>
          <t>Surat</t>
        </is>
      </c>
      <c r="H793" t="inlineStr">
        <is>
          <t>DHL</t>
        </is>
      </c>
      <c r="I793" t="inlineStr">
        <is>
          <t>Van</t>
        </is>
      </c>
      <c r="J793" t="inlineStr">
        <is>
          <t>High</t>
        </is>
      </c>
      <c r="K793" t="inlineStr">
        <is>
          <t>Delivered</t>
        </is>
      </c>
      <c r="L793" t="n">
        <v>475.32</v>
      </c>
      <c r="M793" t="n">
        <v>1485</v>
      </c>
      <c r="N793" t="n">
        <v>48.62</v>
      </c>
      <c r="O793" t="n">
        <v>2168.04</v>
      </c>
      <c r="P793" t="n">
        <v>322.61</v>
      </c>
      <c r="Q793">
        <f>ROUND(L793*M793*N793/1000+O793+P793,2)</f>
        <v/>
      </c>
      <c r="R793" t="inlineStr">
        <is>
          <t>No</t>
        </is>
      </c>
      <c r="S793">
        <f>IF(OR(E793="",D793=""),"",MAX(0,E793-D793))</f>
        <v/>
      </c>
      <c r="T793" t="inlineStr">
        <is>
          <t>Yes</t>
        </is>
      </c>
      <c r="U793" t="n">
        <v>27</v>
      </c>
      <c r="V793" t="inlineStr">
        <is>
          <t>COD</t>
        </is>
      </c>
      <c r="W793" t="n">
        <v>2</v>
      </c>
      <c r="X793" t="inlineStr">
        <is>
          <t>Damaged Package</t>
        </is>
      </c>
    </row>
    <row r="794">
      <c r="A794" t="inlineStr">
        <is>
          <t>ORD-2026-00793</t>
        </is>
      </c>
      <c r="B794" t="inlineStr">
        <is>
          <t>CUST-0019</t>
        </is>
      </c>
      <c r="C794" s="3" t="n">
        <v>46230</v>
      </c>
      <c r="D794" s="3" t="n">
        <v>46238</v>
      </c>
      <c r="E794" s="3" t="n">
        <v>46238</v>
      </c>
      <c r="F794" t="inlineStr">
        <is>
          <t>Pune</t>
        </is>
      </c>
      <c r="G794" t="inlineStr">
        <is>
          <t>Mumbai</t>
        </is>
      </c>
      <c r="H794" t="inlineStr">
        <is>
          <t>Delhivery</t>
        </is>
      </c>
      <c r="I794" t="inlineStr">
        <is>
          <t>Bike</t>
        </is>
      </c>
      <c r="J794" t="inlineStr">
        <is>
          <t>Critical</t>
        </is>
      </c>
      <c r="K794" t="inlineStr">
        <is>
          <t>Delivered</t>
        </is>
      </c>
      <c r="L794" t="n">
        <v>1792.75</v>
      </c>
      <c r="M794" t="n">
        <v>2332</v>
      </c>
      <c r="N794" t="n">
        <v>34.17</v>
      </c>
      <c r="O794" t="n">
        <v>7211.85</v>
      </c>
      <c r="P794" t="n">
        <v>396.99</v>
      </c>
      <c r="Q794">
        <f>ROUND(L794*M794*N794/1000+O794+P794,2)</f>
        <v/>
      </c>
      <c r="R794" t="inlineStr">
        <is>
          <t>Yes</t>
        </is>
      </c>
      <c r="S794">
        <f>IF(OR(E794="",D794=""),"",MAX(0,E794-D794))</f>
        <v/>
      </c>
      <c r="T794" t="inlineStr">
        <is>
          <t>Yes</t>
        </is>
      </c>
      <c r="U794" t="n">
        <v>9</v>
      </c>
      <c r="V794" t="inlineStr">
        <is>
          <t>Pending</t>
        </is>
      </c>
      <c r="W794" t="n">
        <v>3</v>
      </c>
      <c r="X794" t="inlineStr">
        <is>
          <t>Weather</t>
        </is>
      </c>
    </row>
    <row r="795">
      <c r="A795" t="inlineStr">
        <is>
          <t>ORD-2026-00794</t>
        </is>
      </c>
      <c r="B795" t="inlineStr">
        <is>
          <t>CUST-0112</t>
        </is>
      </c>
      <c r="C795" s="3" t="n">
        <v>46139</v>
      </c>
      <c r="D795" s="3" t="n">
        <v>46144</v>
      </c>
      <c r="E795" s="3" t="n">
        <v>46144</v>
      </c>
      <c r="F795" t="inlineStr">
        <is>
          <t>Chennai</t>
        </is>
      </c>
      <c r="G795" t="inlineStr">
        <is>
          <t>Hyderabad</t>
        </is>
      </c>
      <c r="H795" t="inlineStr">
        <is>
          <t>BlueDart</t>
        </is>
      </c>
      <c r="I795" t="inlineStr">
        <is>
          <t>Truck</t>
        </is>
      </c>
      <c r="J795" t="inlineStr">
        <is>
          <t>Normal</t>
        </is>
      </c>
      <c r="K795" t="inlineStr">
        <is>
          <t>Delivered</t>
        </is>
      </c>
      <c r="L795" t="n">
        <v>664.62</v>
      </c>
      <c r="M795" t="n">
        <v>1756</v>
      </c>
      <c r="N795" t="n">
        <v>43.8</v>
      </c>
      <c r="O795" t="n">
        <v>3035.05</v>
      </c>
      <c r="P795" t="n">
        <v>179.96</v>
      </c>
      <c r="Q795">
        <f>ROUND(L795*M795*N795/1000+O795+P795,2)</f>
        <v/>
      </c>
      <c r="R795" t="inlineStr">
        <is>
          <t>Yes</t>
        </is>
      </c>
      <c r="S795">
        <f>IF(OR(E795="",D795=""),"",MAX(0,E795-D795))</f>
        <v/>
      </c>
      <c r="T795" t="inlineStr">
        <is>
          <t>Yes</t>
        </is>
      </c>
      <c r="U795" t="n">
        <v>47</v>
      </c>
      <c r="V795" t="inlineStr">
        <is>
          <t>Paid</t>
        </is>
      </c>
      <c r="W795" t="n">
        <v>1</v>
      </c>
      <c r="X795" t="inlineStr">
        <is>
          <t>Customer Unavailable</t>
        </is>
      </c>
    </row>
    <row r="796">
      <c r="A796" t="inlineStr">
        <is>
          <t>ORD-2026-00795</t>
        </is>
      </c>
      <c r="B796" t="inlineStr">
        <is>
          <t>CUST-0229</t>
        </is>
      </c>
      <c r="C796" s="3" t="n">
        <v>46040</v>
      </c>
      <c r="D796" s="3" t="n">
        <v>46045</v>
      </c>
      <c r="E796" s="3" t="n">
        <v>46045</v>
      </c>
      <c r="F796" t="inlineStr">
        <is>
          <t>Kolkata</t>
        </is>
      </c>
      <c r="G796" t="inlineStr">
        <is>
          <t>Ahmedabad</t>
        </is>
      </c>
      <c r="H796" t="inlineStr">
        <is>
          <t>BlueDart</t>
        </is>
      </c>
      <c r="I796" t="inlineStr">
        <is>
          <t>Van</t>
        </is>
      </c>
      <c r="J796" t="inlineStr">
        <is>
          <t>High</t>
        </is>
      </c>
      <c r="K796" t="inlineStr">
        <is>
          <t>Delivered</t>
        </is>
      </c>
      <c r="L796" t="n">
        <v>318.99</v>
      </c>
      <c r="M796" t="n">
        <v>397</v>
      </c>
      <c r="N796" t="n">
        <v>60.77</v>
      </c>
      <c r="O796" t="n">
        <v>547.97</v>
      </c>
      <c r="P796" t="n">
        <v>323.24</v>
      </c>
      <c r="Q796">
        <f>ROUND(L796*M796*N796/1000+O796+P796,2)</f>
        <v/>
      </c>
      <c r="R796" t="inlineStr">
        <is>
          <t>Yes</t>
        </is>
      </c>
      <c r="S796">
        <f>IF(OR(E796="",D796=""),"",MAX(0,E796-D796))</f>
        <v/>
      </c>
      <c r="T796" t="inlineStr">
        <is>
          <t>No</t>
        </is>
      </c>
      <c r="U796" t="n">
        <v>37</v>
      </c>
      <c r="V796" t="inlineStr">
        <is>
          <t>Failed</t>
        </is>
      </c>
      <c r="W796" t="n">
        <v>2</v>
      </c>
      <c r="X796" t="inlineStr">
        <is>
          <t>Address Error</t>
        </is>
      </c>
    </row>
    <row r="797">
      <c r="A797" t="inlineStr">
        <is>
          <t>ORD-2026-00796</t>
        </is>
      </c>
      <c r="B797" t="inlineStr">
        <is>
          <t>CUST-0207</t>
        </is>
      </c>
      <c r="C797" s="3" t="n">
        <v>46079</v>
      </c>
      <c r="D797" s="3" t="n">
        <v>46084</v>
      </c>
      <c r="E797" s="3" t="n">
        <v>46089</v>
      </c>
      <c r="F797" t="inlineStr">
        <is>
          <t>Chennai</t>
        </is>
      </c>
      <c r="G797" t="inlineStr">
        <is>
          <t>Bengaluru</t>
        </is>
      </c>
      <c r="H797" t="inlineStr">
        <is>
          <t>DTDC</t>
        </is>
      </c>
      <c r="I797" t="inlineStr">
        <is>
          <t>Bike</t>
        </is>
      </c>
      <c r="J797" t="inlineStr">
        <is>
          <t>Low</t>
        </is>
      </c>
      <c r="K797" t="inlineStr">
        <is>
          <t>Delivered</t>
        </is>
      </c>
      <c r="L797" t="n">
        <v>591.29</v>
      </c>
      <c r="M797" t="n">
        <v>99</v>
      </c>
      <c r="N797" t="n">
        <v>39.56</v>
      </c>
      <c r="O797" t="n">
        <v>113.48</v>
      </c>
      <c r="P797" t="n">
        <v>345.41</v>
      </c>
      <c r="Q797">
        <f>ROUND(L797*M797*N797/1000+O797+P797,2)</f>
        <v/>
      </c>
      <c r="R797" t="inlineStr">
        <is>
          <t>No</t>
        </is>
      </c>
      <c r="S797">
        <f>IF(OR(E797="",D797=""),"",MAX(0,E797-D797))</f>
        <v/>
      </c>
      <c r="T797" t="inlineStr">
        <is>
          <t>Yes</t>
        </is>
      </c>
      <c r="U797" t="n">
        <v>12</v>
      </c>
      <c r="V797" t="inlineStr">
        <is>
          <t>COD</t>
        </is>
      </c>
      <c r="W797" t="n">
        <v>4</v>
      </c>
      <c r="X797" t="inlineStr">
        <is>
          <t>None</t>
        </is>
      </c>
    </row>
    <row r="798">
      <c r="A798" t="inlineStr">
        <is>
          <t>ORD-2026-00797</t>
        </is>
      </c>
      <c r="B798" t="inlineStr">
        <is>
          <t>CUST-0001</t>
        </is>
      </c>
      <c r="C798" s="3" t="n">
        <v>46047</v>
      </c>
      <c r="D798" s="3" t="n">
        <v>46051</v>
      </c>
      <c r="E798" s="3" t="n">
        <v>46054</v>
      </c>
      <c r="F798" t="inlineStr">
        <is>
          <t>Bengaluru</t>
        </is>
      </c>
      <c r="G798" t="inlineStr">
        <is>
          <t>Pune</t>
        </is>
      </c>
      <c r="H798" t="inlineStr">
        <is>
          <t>Delhivery</t>
        </is>
      </c>
      <c r="I798" t="inlineStr">
        <is>
          <t>Bike</t>
        </is>
      </c>
      <c r="J798" t="inlineStr">
        <is>
          <t>Critical</t>
        </is>
      </c>
      <c r="K798" t="inlineStr">
        <is>
          <t>Delivered</t>
        </is>
      </c>
      <c r="L798" t="n">
        <v>1149.04</v>
      </c>
      <c r="M798" t="n">
        <v>683</v>
      </c>
      <c r="N798" t="n">
        <v>58.84</v>
      </c>
      <c r="O798" t="n">
        <v>3927.73</v>
      </c>
      <c r="P798" t="n">
        <v>433.62</v>
      </c>
      <c r="Q798">
        <f>ROUND(L798*M798*N798/1000+O798+P798,2)</f>
        <v/>
      </c>
      <c r="R798" t="inlineStr">
        <is>
          <t>No</t>
        </is>
      </c>
      <c r="S798">
        <f>IF(OR(E798="",D798=""),"",MAX(0,E798-D798))</f>
        <v/>
      </c>
      <c r="T798" t="inlineStr">
        <is>
          <t>No</t>
        </is>
      </c>
      <c r="U798" t="n">
        <v>28</v>
      </c>
      <c r="V798" t="inlineStr">
        <is>
          <t>Pending</t>
        </is>
      </c>
      <c r="W798" t="n">
        <v>1</v>
      </c>
      <c r="X798" t="inlineStr">
        <is>
          <t>Customer Unavailable</t>
        </is>
      </c>
    </row>
    <row r="799">
      <c r="A799" t="inlineStr">
        <is>
          <t>ORD-2026-00798</t>
        </is>
      </c>
      <c r="B799" t="inlineStr">
        <is>
          <t>CUST-0196</t>
        </is>
      </c>
      <c r="C799" s="3" t="n">
        <v>46043</v>
      </c>
      <c r="D799" s="3" t="n">
        <v>46050</v>
      </c>
      <c r="E799" s="3" t="n">
        <v>46051</v>
      </c>
      <c r="F799" t="inlineStr">
        <is>
          <t>Pune</t>
        </is>
      </c>
      <c r="G799" t="inlineStr">
        <is>
          <t>Bengaluru</t>
        </is>
      </c>
      <c r="H799" t="inlineStr">
        <is>
          <t>Maersk</t>
        </is>
      </c>
      <c r="I799" t="inlineStr">
        <is>
          <t>Container</t>
        </is>
      </c>
      <c r="J799" t="inlineStr">
        <is>
          <t>Critical</t>
        </is>
      </c>
      <c r="K799" t="inlineStr">
        <is>
          <t>Delivered</t>
        </is>
      </c>
      <c r="L799" t="n">
        <v>1848.04</v>
      </c>
      <c r="M799" t="n">
        <v>1579</v>
      </c>
      <c r="N799" t="n">
        <v>56.48</v>
      </c>
      <c r="O799" t="n">
        <v>12367.75</v>
      </c>
      <c r="P799" t="n">
        <v>54.08</v>
      </c>
      <c r="Q799">
        <f>ROUND(L799*M799*N799/1000+O799+P799,2)</f>
        <v/>
      </c>
      <c r="R799" t="inlineStr">
        <is>
          <t>No</t>
        </is>
      </c>
      <c r="S799">
        <f>IF(OR(E799="",D799=""),"",MAX(0,E799-D799))</f>
        <v/>
      </c>
      <c r="T799" t="inlineStr">
        <is>
          <t>No</t>
        </is>
      </c>
      <c r="U799" t="n">
        <v>42</v>
      </c>
      <c r="V799" t="inlineStr">
        <is>
          <t>Paid</t>
        </is>
      </c>
      <c r="W799" t="n">
        <v>4</v>
      </c>
      <c r="X799" t="inlineStr">
        <is>
          <t>Customs</t>
        </is>
      </c>
    </row>
    <row r="800">
      <c r="A800" t="inlineStr">
        <is>
          <t>ORD-2026-00799</t>
        </is>
      </c>
      <c r="B800" t="inlineStr">
        <is>
          <t>CUST-0202</t>
        </is>
      </c>
      <c r="C800" s="3" t="n">
        <v>46180</v>
      </c>
      <c r="D800" s="3" t="n">
        <v>46187</v>
      </c>
      <c r="E800" s="3" t="n">
        <v>46190</v>
      </c>
      <c r="F800" t="inlineStr">
        <is>
          <t>Chennai</t>
        </is>
      </c>
      <c r="G800" t="inlineStr">
        <is>
          <t>Bengaluru</t>
        </is>
      </c>
      <c r="H800" t="inlineStr">
        <is>
          <t>DHL</t>
        </is>
      </c>
      <c r="I800" t="inlineStr">
        <is>
          <t>Refrigerated Truck</t>
        </is>
      </c>
      <c r="J800" t="inlineStr">
        <is>
          <t>High</t>
        </is>
      </c>
      <c r="K800" t="inlineStr">
        <is>
          <t>Delivered</t>
        </is>
      </c>
      <c r="L800" t="n">
        <v>932.72</v>
      </c>
      <c r="M800" t="n">
        <v>321</v>
      </c>
      <c r="N800" t="n">
        <v>42.25</v>
      </c>
      <c r="O800" t="n">
        <v>909.97</v>
      </c>
      <c r="P800" t="n">
        <v>578.9400000000001</v>
      </c>
      <c r="Q800">
        <f>ROUND(L800*M800*N800/1000+O800+P800,2)</f>
        <v/>
      </c>
      <c r="R800" t="inlineStr">
        <is>
          <t>No</t>
        </is>
      </c>
      <c r="S800">
        <f>IF(OR(E800="",D800=""),"",MAX(0,E800-D800))</f>
        <v/>
      </c>
      <c r="T800" t="inlineStr">
        <is>
          <t>No</t>
        </is>
      </c>
      <c r="U800" t="n">
        <v>36</v>
      </c>
      <c r="V800" t="inlineStr">
        <is>
          <t>Pending</t>
        </is>
      </c>
      <c r="W800" t="n">
        <v>3</v>
      </c>
      <c r="X800" t="inlineStr">
        <is>
          <t>Address Error</t>
        </is>
      </c>
    </row>
    <row r="801">
      <c r="A801" t="inlineStr">
        <is>
          <t>ORD-2026-00800</t>
        </is>
      </c>
      <c r="B801" t="inlineStr">
        <is>
          <t>CUST-0100</t>
        </is>
      </c>
      <c r="C801" s="3" t="n">
        <v>46120</v>
      </c>
      <c r="D801" s="3" t="n">
        <v>46128</v>
      </c>
      <c r="E801" s="3" t="n">
        <v>46138</v>
      </c>
      <c r="F801" t="inlineStr">
        <is>
          <t>Kolkata</t>
        </is>
      </c>
      <c r="G801" t="inlineStr">
        <is>
          <t>Hyderabad</t>
        </is>
      </c>
      <c r="H801" t="inlineStr">
        <is>
          <t>FedEx</t>
        </is>
      </c>
      <c r="I801" t="inlineStr">
        <is>
          <t>Container</t>
        </is>
      </c>
      <c r="J801" t="inlineStr">
        <is>
          <t>Low</t>
        </is>
      </c>
      <c r="K801" t="inlineStr">
        <is>
          <t>Delivered</t>
        </is>
      </c>
      <c r="L801" t="n">
        <v>1408.49</v>
      </c>
      <c r="M801" t="n">
        <v>2648</v>
      </c>
      <c r="N801" t="n">
        <v>47.76</v>
      </c>
      <c r="O801" t="n">
        <v>10177.39</v>
      </c>
      <c r="P801" t="n">
        <v>1204.15</v>
      </c>
      <c r="Q801">
        <f>ROUND(L801*M801*N801/1000+O801+P801,2)</f>
        <v/>
      </c>
      <c r="R801" t="inlineStr">
        <is>
          <t>No</t>
        </is>
      </c>
      <c r="S801">
        <f>IF(OR(E801="",D801=""),"",MAX(0,E801-D801))</f>
        <v/>
      </c>
      <c r="T801" t="inlineStr">
        <is>
          <t>No</t>
        </is>
      </c>
      <c r="U801" t="n">
        <v>56</v>
      </c>
      <c r="V801" t="inlineStr">
        <is>
          <t>Failed</t>
        </is>
      </c>
      <c r="W801" t="n">
        <v>4</v>
      </c>
      <c r="X801" t="inlineStr">
        <is>
          <t>None</t>
        </is>
      </c>
    </row>
    <row r="802">
      <c r="A802" t="inlineStr">
        <is>
          <t>ORD-2026-00801</t>
        </is>
      </c>
      <c r="B802" t="inlineStr">
        <is>
          <t>CUST-0166</t>
        </is>
      </c>
      <c r="C802" s="3" t="n">
        <v>46134</v>
      </c>
      <c r="D802" s="3" t="n">
        <v>46139</v>
      </c>
      <c r="E802" s="3" t="n">
        <v>46139</v>
      </c>
      <c r="F802" t="inlineStr">
        <is>
          <t>Surat</t>
        </is>
      </c>
      <c r="G802" t="inlineStr">
        <is>
          <t>Kolkata</t>
        </is>
      </c>
      <c r="H802" t="inlineStr">
        <is>
          <t>DTDC</t>
        </is>
      </c>
      <c r="I802" t="inlineStr">
        <is>
          <t>Truck</t>
        </is>
      </c>
      <c r="J802" t="inlineStr">
        <is>
          <t>Low</t>
        </is>
      </c>
      <c r="K802" t="inlineStr">
        <is>
          <t>Delivered</t>
        </is>
      </c>
      <c r="L802" t="n">
        <v>2279.04</v>
      </c>
      <c r="M802" t="n">
        <v>1069</v>
      </c>
      <c r="N802" t="n">
        <v>35.28</v>
      </c>
      <c r="O802" t="n">
        <v>3447.77</v>
      </c>
      <c r="P802" t="n">
        <v>1283.4</v>
      </c>
      <c r="Q802">
        <f>ROUND(L802*M802*N802/1000+O802+P802,2)</f>
        <v/>
      </c>
      <c r="R802" t="inlineStr">
        <is>
          <t>Yes</t>
        </is>
      </c>
      <c r="S802">
        <f>IF(OR(E802="",D802=""),"",MAX(0,E802-D802))</f>
        <v/>
      </c>
      <c r="T802" t="inlineStr">
        <is>
          <t>No</t>
        </is>
      </c>
      <c r="U802" t="n">
        <v>47</v>
      </c>
      <c r="V802" t="inlineStr">
        <is>
          <t>Paid</t>
        </is>
      </c>
      <c r="W802" t="n">
        <v>2</v>
      </c>
      <c r="X802" t="inlineStr">
        <is>
          <t>None</t>
        </is>
      </c>
    </row>
    <row r="803">
      <c r="A803" t="inlineStr">
        <is>
          <t>ORD-2026-00802</t>
        </is>
      </c>
      <c r="B803" t="inlineStr">
        <is>
          <t>CUST-0037</t>
        </is>
      </c>
      <c r="C803" s="3" t="n">
        <v>46204</v>
      </c>
      <c r="D803" s="3" t="n">
        <v>46207</v>
      </c>
      <c r="E803" s="3" t="n">
        <v>46207</v>
      </c>
      <c r="F803" t="inlineStr">
        <is>
          <t>Chennai</t>
        </is>
      </c>
      <c r="G803" t="inlineStr">
        <is>
          <t>Pune</t>
        </is>
      </c>
      <c r="H803" t="inlineStr">
        <is>
          <t>Aramex</t>
        </is>
      </c>
      <c r="I803" t="inlineStr">
        <is>
          <t>Truck</t>
        </is>
      </c>
      <c r="J803" t="inlineStr">
        <is>
          <t>Normal</t>
        </is>
      </c>
      <c r="K803" t="inlineStr">
        <is>
          <t>Delivered</t>
        </is>
      </c>
      <c r="L803" t="n">
        <v>125.64</v>
      </c>
      <c r="M803" t="n">
        <v>329</v>
      </c>
      <c r="N803" t="n">
        <v>37.94</v>
      </c>
      <c r="O803" t="n">
        <v>71.06</v>
      </c>
      <c r="P803" t="n">
        <v>240.56</v>
      </c>
      <c r="Q803">
        <f>ROUND(L803*M803*N803/1000+O803+P803,2)</f>
        <v/>
      </c>
      <c r="R803" t="inlineStr">
        <is>
          <t>Yes</t>
        </is>
      </c>
      <c r="S803">
        <f>IF(OR(E803="",D803=""),"",MAX(0,E803-D803))</f>
        <v/>
      </c>
      <c r="T803" t="inlineStr">
        <is>
          <t>No</t>
        </is>
      </c>
      <c r="U803" t="n">
        <v>40</v>
      </c>
      <c r="V803" t="inlineStr">
        <is>
          <t>Pending</t>
        </is>
      </c>
      <c r="W803" t="n">
        <v>5</v>
      </c>
      <c r="X803" t="inlineStr">
        <is>
          <t>None</t>
        </is>
      </c>
    </row>
    <row r="804">
      <c r="A804" t="inlineStr">
        <is>
          <t>ORD-2026-00803</t>
        </is>
      </c>
      <c r="B804" t="inlineStr">
        <is>
          <t>CUST-0043</t>
        </is>
      </c>
      <c r="C804" s="3" t="n">
        <v>46082</v>
      </c>
      <c r="D804" s="3" t="n">
        <v>46084</v>
      </c>
      <c r="E804" s="3" t="n">
        <v>46085</v>
      </c>
      <c r="F804" t="inlineStr">
        <is>
          <t>Bengaluru</t>
        </is>
      </c>
      <c r="G804" t="inlineStr">
        <is>
          <t>Ahmedabad</t>
        </is>
      </c>
      <c r="H804" t="inlineStr">
        <is>
          <t>Aramex</t>
        </is>
      </c>
      <c r="I804" t="inlineStr">
        <is>
          <t>Truck</t>
        </is>
      </c>
      <c r="J804" t="inlineStr">
        <is>
          <t>Low</t>
        </is>
      </c>
      <c r="K804" t="inlineStr">
        <is>
          <t>Delivered</t>
        </is>
      </c>
      <c r="L804" t="n">
        <v>1957.86</v>
      </c>
      <c r="M804" t="n">
        <v>725</v>
      </c>
      <c r="N804" t="n">
        <v>24.43</v>
      </c>
      <c r="O804" t="n">
        <v>2018.73</v>
      </c>
      <c r="P804" t="n">
        <v>646.4299999999999</v>
      </c>
      <c r="Q804">
        <f>ROUND(L804*M804*N804/1000+O804+P804,2)</f>
        <v/>
      </c>
      <c r="R804" t="inlineStr">
        <is>
          <t>No</t>
        </is>
      </c>
      <c r="S804">
        <f>IF(OR(E804="",D804=""),"",MAX(0,E804-D804))</f>
        <v/>
      </c>
      <c r="T804" t="inlineStr">
        <is>
          <t>Yes</t>
        </is>
      </c>
      <c r="U804" t="n">
        <v>13</v>
      </c>
      <c r="V804" t="inlineStr">
        <is>
          <t>COD</t>
        </is>
      </c>
      <c r="W804" t="n">
        <v>2</v>
      </c>
      <c r="X804" t="inlineStr">
        <is>
          <t>Customs</t>
        </is>
      </c>
    </row>
    <row r="805">
      <c r="A805" t="inlineStr">
        <is>
          <t>ORD-2026-00804</t>
        </is>
      </c>
      <c r="B805" t="inlineStr">
        <is>
          <t>CUST-0219</t>
        </is>
      </c>
      <c r="C805" s="3" t="n">
        <v>46054</v>
      </c>
      <c r="D805" s="3" t="n">
        <v>46062</v>
      </c>
      <c r="E805" s="3" t="n">
        <v>46063</v>
      </c>
      <c r="F805" t="inlineStr">
        <is>
          <t>Delhi</t>
        </is>
      </c>
      <c r="G805" t="inlineStr">
        <is>
          <t>Pune</t>
        </is>
      </c>
      <c r="H805" t="inlineStr">
        <is>
          <t>DTDC</t>
        </is>
      </c>
      <c r="I805" t="inlineStr">
        <is>
          <t>Van</t>
        </is>
      </c>
      <c r="J805" t="inlineStr">
        <is>
          <t>Low</t>
        </is>
      </c>
      <c r="K805" t="inlineStr">
        <is>
          <t>Delivered</t>
        </is>
      </c>
      <c r="L805" t="n">
        <v>447.72</v>
      </c>
      <c r="M805" t="n">
        <v>2190</v>
      </c>
      <c r="N805" t="n">
        <v>61.13</v>
      </c>
      <c r="O805" t="n">
        <v>2681.57</v>
      </c>
      <c r="P805" t="n">
        <v>32.94</v>
      </c>
      <c r="Q805">
        <f>ROUND(L805*M805*N805/1000+O805+P805,2)</f>
        <v/>
      </c>
      <c r="R805" t="inlineStr">
        <is>
          <t>No</t>
        </is>
      </c>
      <c r="S805">
        <f>IF(OR(E805="",D805=""),"",MAX(0,E805-D805))</f>
        <v/>
      </c>
      <c r="T805" t="inlineStr">
        <is>
          <t>No</t>
        </is>
      </c>
      <c r="U805" t="n">
        <v>18</v>
      </c>
      <c r="V805" t="inlineStr">
        <is>
          <t>Pending</t>
        </is>
      </c>
      <c r="W805" t="n">
        <v>1</v>
      </c>
      <c r="X805" t="inlineStr">
        <is>
          <t>Weather</t>
        </is>
      </c>
    </row>
    <row r="806">
      <c r="A806" t="inlineStr">
        <is>
          <t>ORD-2026-00805</t>
        </is>
      </c>
      <c r="B806" t="inlineStr">
        <is>
          <t>CUST-0183</t>
        </is>
      </c>
      <c r="C806" s="3" t="n">
        <v>46062</v>
      </c>
      <c r="D806" s="3" t="n">
        <v>46065</v>
      </c>
      <c r="E806" s="3" t="n">
        <v>46065</v>
      </c>
      <c r="F806" t="inlineStr">
        <is>
          <t>Bengaluru</t>
        </is>
      </c>
      <c r="G806" t="inlineStr">
        <is>
          <t>Delhi</t>
        </is>
      </c>
      <c r="H806" t="inlineStr">
        <is>
          <t>Maersk</t>
        </is>
      </c>
      <c r="I806" t="inlineStr">
        <is>
          <t>Bike</t>
        </is>
      </c>
      <c r="J806" t="inlineStr">
        <is>
          <t>Low</t>
        </is>
      </c>
      <c r="K806" t="inlineStr">
        <is>
          <t>Delivered</t>
        </is>
      </c>
      <c r="L806" t="n">
        <v>918.29</v>
      </c>
      <c r="M806" t="n">
        <v>1148</v>
      </c>
      <c r="N806" t="n">
        <v>34.36</v>
      </c>
      <c r="O806" t="n">
        <v>2075.41</v>
      </c>
      <c r="P806" t="n">
        <v>1071.11</v>
      </c>
      <c r="Q806">
        <f>ROUND(L806*M806*N806/1000+O806+P806,2)</f>
        <v/>
      </c>
      <c r="R806" t="inlineStr">
        <is>
          <t>Yes</t>
        </is>
      </c>
      <c r="S806">
        <f>IF(OR(E806="",D806=""),"",MAX(0,E806-D806))</f>
        <v/>
      </c>
      <c r="T806" t="inlineStr">
        <is>
          <t>Yes</t>
        </is>
      </c>
      <c r="U806" t="n">
        <v>49</v>
      </c>
      <c r="V806" t="inlineStr">
        <is>
          <t>Pending</t>
        </is>
      </c>
      <c r="W806" t="n">
        <v>1</v>
      </c>
      <c r="X806" t="inlineStr">
        <is>
          <t>Vehicle Breakdown</t>
        </is>
      </c>
    </row>
    <row r="807">
      <c r="A807" t="inlineStr">
        <is>
          <t>ORD-2026-00806</t>
        </is>
      </c>
      <c r="B807" t="inlineStr">
        <is>
          <t>CUST-0134</t>
        </is>
      </c>
      <c r="C807" s="3" t="n">
        <v>46140</v>
      </c>
      <c r="D807" s="3" t="n">
        <v>46148</v>
      </c>
      <c r="E807" s="3" t="n">
        <v>46149</v>
      </c>
      <c r="F807" t="inlineStr">
        <is>
          <t>Hyderabad</t>
        </is>
      </c>
      <c r="G807" t="inlineStr">
        <is>
          <t>Kolkata</t>
        </is>
      </c>
      <c r="H807" t="inlineStr">
        <is>
          <t>DTDC</t>
        </is>
      </c>
      <c r="I807" t="inlineStr">
        <is>
          <t>Container</t>
        </is>
      </c>
      <c r="J807" t="inlineStr">
        <is>
          <t>High</t>
        </is>
      </c>
      <c r="K807" t="inlineStr">
        <is>
          <t>Delivered</t>
        </is>
      </c>
      <c r="L807" t="n">
        <v>1353.9</v>
      </c>
      <c r="M807" t="n">
        <v>1659</v>
      </c>
      <c r="N807" t="n">
        <v>58.66</v>
      </c>
      <c r="O807" t="n">
        <v>7641.56</v>
      </c>
      <c r="P807" t="n">
        <v>978.08</v>
      </c>
      <c r="Q807">
        <f>ROUND(L807*M807*N807/1000+O807+P807,2)</f>
        <v/>
      </c>
      <c r="R807" t="inlineStr">
        <is>
          <t>No</t>
        </is>
      </c>
      <c r="S807">
        <f>IF(OR(E807="",D807=""),"",MAX(0,E807-D807))</f>
        <v/>
      </c>
      <c r="T807" t="inlineStr">
        <is>
          <t>No</t>
        </is>
      </c>
      <c r="U807" t="n">
        <v>22</v>
      </c>
      <c r="V807" t="inlineStr">
        <is>
          <t>Failed</t>
        </is>
      </c>
      <c r="W807" t="n">
        <v>2</v>
      </c>
      <c r="X807" t="inlineStr">
        <is>
          <t>Customer Unavailable</t>
        </is>
      </c>
    </row>
    <row r="808">
      <c r="A808" t="inlineStr">
        <is>
          <t>ORD-2026-00807</t>
        </is>
      </c>
      <c r="B808" t="inlineStr">
        <is>
          <t>CUST-0096</t>
        </is>
      </c>
      <c r="C808" s="3" t="n">
        <v>46032</v>
      </c>
      <c r="D808" s="3" t="n">
        <v>46036</v>
      </c>
      <c r="E808" s="3" t="n">
        <v>46036</v>
      </c>
      <c r="F808" t="inlineStr">
        <is>
          <t>Ahmedabad</t>
        </is>
      </c>
      <c r="G808" t="inlineStr">
        <is>
          <t>Hyderabad</t>
        </is>
      </c>
      <c r="H808" t="inlineStr">
        <is>
          <t>Delhivery</t>
        </is>
      </c>
      <c r="I808" t="inlineStr">
        <is>
          <t>Truck</t>
        </is>
      </c>
      <c r="J808" t="inlineStr">
        <is>
          <t>Low</t>
        </is>
      </c>
      <c r="K808" t="inlineStr">
        <is>
          <t>Delivered</t>
        </is>
      </c>
      <c r="L808" t="n">
        <v>2104.94</v>
      </c>
      <c r="M808" t="n">
        <v>478</v>
      </c>
      <c r="N808" t="n">
        <v>42.45</v>
      </c>
      <c r="O808" t="n">
        <v>2338.23</v>
      </c>
      <c r="P808" t="n">
        <v>576.4</v>
      </c>
      <c r="Q808">
        <f>ROUND(L808*M808*N808/1000+O808+P808,2)</f>
        <v/>
      </c>
      <c r="R808" t="inlineStr">
        <is>
          <t>Yes</t>
        </is>
      </c>
      <c r="S808">
        <f>IF(OR(E808="",D808=""),"",MAX(0,E808-D808))</f>
        <v/>
      </c>
      <c r="T808" t="inlineStr">
        <is>
          <t>Yes</t>
        </is>
      </c>
      <c r="U808" t="n">
        <v>56</v>
      </c>
      <c r="V808" t="inlineStr">
        <is>
          <t>Pending</t>
        </is>
      </c>
      <c r="W808" t="n">
        <v>4</v>
      </c>
      <c r="X808" t="inlineStr">
        <is>
          <t>Customer Unavailable</t>
        </is>
      </c>
    </row>
    <row r="809">
      <c r="A809" t="inlineStr">
        <is>
          <t>ORD-2026-00808</t>
        </is>
      </c>
      <c r="B809" t="inlineStr">
        <is>
          <t>CUST-0103</t>
        </is>
      </c>
      <c r="C809" s="3" t="n">
        <v>46174</v>
      </c>
      <c r="D809" s="3" t="n">
        <v>46177</v>
      </c>
      <c r="E809" s="3" t="n">
        <v>46178</v>
      </c>
      <c r="F809" t="inlineStr">
        <is>
          <t>Jaipur</t>
        </is>
      </c>
      <c r="G809" t="inlineStr">
        <is>
          <t>Jaipur</t>
        </is>
      </c>
      <c r="H809" t="inlineStr">
        <is>
          <t>FedEx</t>
        </is>
      </c>
      <c r="I809" t="inlineStr">
        <is>
          <t>Truck</t>
        </is>
      </c>
      <c r="J809" t="inlineStr">
        <is>
          <t>Critical</t>
        </is>
      </c>
      <c r="K809" t="inlineStr">
        <is>
          <t>Delivered</t>
        </is>
      </c>
      <c r="L809" t="n">
        <v>611.61</v>
      </c>
      <c r="M809" t="n">
        <v>72</v>
      </c>
      <c r="N809" t="n">
        <v>59.33</v>
      </c>
      <c r="O809" t="n">
        <v>220.04</v>
      </c>
      <c r="P809" t="n">
        <v>394.32</v>
      </c>
      <c r="Q809">
        <f>ROUND(L809*M809*N809/1000+O809+P809,2)</f>
        <v/>
      </c>
      <c r="R809" t="inlineStr">
        <is>
          <t>No</t>
        </is>
      </c>
      <c r="S809">
        <f>IF(OR(E809="",D809=""),"",MAX(0,E809-D809))</f>
        <v/>
      </c>
      <c r="T809" t="inlineStr">
        <is>
          <t>Yes</t>
        </is>
      </c>
      <c r="U809" t="n">
        <v>54</v>
      </c>
      <c r="V809" t="inlineStr">
        <is>
          <t>Paid</t>
        </is>
      </c>
      <c r="W809" t="n">
        <v>2</v>
      </c>
      <c r="X809" t="inlineStr">
        <is>
          <t>Address Error</t>
        </is>
      </c>
    </row>
    <row r="810">
      <c r="A810" t="inlineStr">
        <is>
          <t>ORD-2026-00809</t>
        </is>
      </c>
      <c r="B810" t="inlineStr">
        <is>
          <t>CUST-0211</t>
        </is>
      </c>
      <c r="C810" s="3" t="n">
        <v>46186</v>
      </c>
      <c r="D810" s="3" t="n">
        <v>46188</v>
      </c>
      <c r="E810" s="3" t="n"/>
      <c r="F810" t="inlineStr">
        <is>
          <t>Surat</t>
        </is>
      </c>
      <c r="G810" t="inlineStr">
        <is>
          <t>Surat</t>
        </is>
      </c>
      <c r="H810" t="inlineStr">
        <is>
          <t>Delhivery</t>
        </is>
      </c>
      <c r="I810" t="inlineStr">
        <is>
          <t>Van</t>
        </is>
      </c>
      <c r="J810" t="inlineStr">
        <is>
          <t>Critical</t>
        </is>
      </c>
      <c r="K810" t="inlineStr">
        <is>
          <t>Exception</t>
        </is>
      </c>
      <c r="L810" t="n">
        <v>2273.53</v>
      </c>
      <c r="M810" t="n">
        <v>2681</v>
      </c>
      <c r="N810" t="n">
        <v>57.71</v>
      </c>
      <c r="O810" t="n">
        <v>12201.7</v>
      </c>
      <c r="P810" t="n">
        <v>455.05</v>
      </c>
      <c r="Q810">
        <f>ROUND(L810*M810*N810/1000+O810+P810,2)</f>
        <v/>
      </c>
      <c r="R810" t="inlineStr">
        <is>
          <t>No</t>
        </is>
      </c>
      <c r="S810">
        <f>IF(OR(E810="",D810=""),"",MAX(0,E810-D810))</f>
        <v/>
      </c>
      <c r="T810" t="inlineStr">
        <is>
          <t>Yes</t>
        </is>
      </c>
      <c r="U810" t="n">
        <v>46</v>
      </c>
      <c r="V810" t="inlineStr">
        <is>
          <t>COD</t>
        </is>
      </c>
      <c r="W810" t="n">
        <v>2</v>
      </c>
      <c r="X810" t="inlineStr">
        <is>
          <t>Vehicle Breakdown</t>
        </is>
      </c>
    </row>
    <row r="811">
      <c r="A811" t="inlineStr">
        <is>
          <t>ORD-2026-00810</t>
        </is>
      </c>
      <c r="B811" t="inlineStr">
        <is>
          <t>CUST-0134</t>
        </is>
      </c>
      <c r="C811" s="3" t="n">
        <v>46152</v>
      </c>
      <c r="D811" s="3" t="n">
        <v>46155</v>
      </c>
      <c r="E811" s="3" t="n">
        <v>46155</v>
      </c>
      <c r="F811" t="inlineStr">
        <is>
          <t>Hyderabad</t>
        </is>
      </c>
      <c r="G811" t="inlineStr">
        <is>
          <t>Ahmedabad</t>
        </is>
      </c>
      <c r="H811" t="inlineStr">
        <is>
          <t>Delhivery</t>
        </is>
      </c>
      <c r="I811" t="inlineStr">
        <is>
          <t>Container</t>
        </is>
      </c>
      <c r="J811" t="inlineStr">
        <is>
          <t>High</t>
        </is>
      </c>
      <c r="K811" t="inlineStr">
        <is>
          <t>Delivered</t>
        </is>
      </c>
      <c r="L811" t="n">
        <v>1860.97</v>
      </c>
      <c r="M811" t="n">
        <v>2305</v>
      </c>
      <c r="N811" t="n">
        <v>23.37</v>
      </c>
      <c r="O811" t="n">
        <v>3155.86</v>
      </c>
      <c r="P811" t="n">
        <v>343.67</v>
      </c>
      <c r="Q811">
        <f>ROUND(L811*M811*N811/1000+O811+P811,2)</f>
        <v/>
      </c>
      <c r="R811" t="inlineStr">
        <is>
          <t>Yes</t>
        </is>
      </c>
      <c r="S811">
        <f>IF(OR(E811="",D811=""),"",MAX(0,E811-D811))</f>
        <v/>
      </c>
      <c r="T811" t="inlineStr">
        <is>
          <t>No</t>
        </is>
      </c>
      <c r="U811" t="n">
        <v>45</v>
      </c>
      <c r="V811" t="inlineStr">
        <is>
          <t>COD</t>
        </is>
      </c>
      <c r="W811" t="n">
        <v>3</v>
      </c>
      <c r="X811" t="inlineStr">
        <is>
          <t>Vehicle Breakdown</t>
        </is>
      </c>
    </row>
    <row r="812">
      <c r="A812" t="inlineStr">
        <is>
          <t>ORD-2026-00811</t>
        </is>
      </c>
      <c r="B812" t="inlineStr">
        <is>
          <t>CUST-0145</t>
        </is>
      </c>
      <c r="C812" s="3" t="n">
        <v>46036</v>
      </c>
      <c r="D812" s="3" t="n">
        <v>46038</v>
      </c>
      <c r="E812" s="3" t="n">
        <v>46041</v>
      </c>
      <c r="F812" t="inlineStr">
        <is>
          <t>Surat</t>
        </is>
      </c>
      <c r="G812" t="inlineStr">
        <is>
          <t>Mumbai</t>
        </is>
      </c>
      <c r="H812" t="inlineStr">
        <is>
          <t>DHL</t>
        </is>
      </c>
      <c r="I812" t="inlineStr">
        <is>
          <t>Container</t>
        </is>
      </c>
      <c r="J812" t="inlineStr">
        <is>
          <t>High</t>
        </is>
      </c>
      <c r="K812" t="inlineStr">
        <is>
          <t>Delivered</t>
        </is>
      </c>
      <c r="L812" t="n">
        <v>1083.8</v>
      </c>
      <c r="M812" t="n">
        <v>2110</v>
      </c>
      <c r="N812" t="n">
        <v>10.06</v>
      </c>
      <c r="O812" t="n">
        <v>1765.86</v>
      </c>
      <c r="P812" t="n">
        <v>1098.42</v>
      </c>
      <c r="Q812">
        <f>ROUND(L812*M812*N812/1000+O812+P812,2)</f>
        <v/>
      </c>
      <c r="R812" t="inlineStr">
        <is>
          <t>No</t>
        </is>
      </c>
      <c r="S812">
        <f>IF(OR(E812="",D812=""),"",MAX(0,E812-D812))</f>
        <v/>
      </c>
      <c r="T812" t="inlineStr">
        <is>
          <t>No</t>
        </is>
      </c>
      <c r="U812" t="n">
        <v>35</v>
      </c>
      <c r="V812" t="inlineStr">
        <is>
          <t>Pending</t>
        </is>
      </c>
      <c r="W812" t="n">
        <v>2</v>
      </c>
      <c r="X812" t="inlineStr">
        <is>
          <t>Customer Unavailable</t>
        </is>
      </c>
    </row>
    <row r="813">
      <c r="A813" t="inlineStr">
        <is>
          <t>ORD-2026-00812</t>
        </is>
      </c>
      <c r="B813" t="inlineStr">
        <is>
          <t>CUST-0146</t>
        </is>
      </c>
      <c r="C813" s="3" t="n">
        <v>46073</v>
      </c>
      <c r="D813" s="3" t="n">
        <v>46075</v>
      </c>
      <c r="E813" s="3" t="n">
        <v>46076</v>
      </c>
      <c r="F813" t="inlineStr">
        <is>
          <t>Bengaluru</t>
        </is>
      </c>
      <c r="G813" t="inlineStr">
        <is>
          <t>Chennai</t>
        </is>
      </c>
      <c r="H813" t="inlineStr">
        <is>
          <t>Aramex</t>
        </is>
      </c>
      <c r="I813" t="inlineStr">
        <is>
          <t>Truck</t>
        </is>
      </c>
      <c r="J813" t="inlineStr">
        <is>
          <t>Critical</t>
        </is>
      </c>
      <c r="K813" t="inlineStr">
        <is>
          <t>Delivered</t>
        </is>
      </c>
      <c r="L813" t="n">
        <v>550.98</v>
      </c>
      <c r="M813" t="n">
        <v>185</v>
      </c>
      <c r="N813" t="n">
        <v>25.27</v>
      </c>
      <c r="O813" t="n">
        <v>224.65</v>
      </c>
      <c r="P813" t="n">
        <v>307.85</v>
      </c>
      <c r="Q813">
        <f>ROUND(L813*M813*N813/1000+O813+P813,2)</f>
        <v/>
      </c>
      <c r="R813" t="inlineStr">
        <is>
          <t>No</t>
        </is>
      </c>
      <c r="S813">
        <f>IF(OR(E813="",D813=""),"",MAX(0,E813-D813))</f>
        <v/>
      </c>
      <c r="T813" t="inlineStr">
        <is>
          <t>No</t>
        </is>
      </c>
      <c r="U813" t="n">
        <v>27</v>
      </c>
      <c r="V813" t="inlineStr">
        <is>
          <t>Paid</t>
        </is>
      </c>
      <c r="W813" t="n">
        <v>1</v>
      </c>
      <c r="X813" t="inlineStr">
        <is>
          <t>Address Error</t>
        </is>
      </c>
    </row>
    <row r="814">
      <c r="A814" t="inlineStr">
        <is>
          <t>ORD-2026-00813</t>
        </is>
      </c>
      <c r="B814" t="inlineStr">
        <is>
          <t>CUST-0030</t>
        </is>
      </c>
      <c r="C814" s="3" t="n">
        <v>46242</v>
      </c>
      <c r="D814" s="3" t="n">
        <v>46243</v>
      </c>
      <c r="E814" s="3" t="n">
        <v>46243</v>
      </c>
      <c r="F814" t="inlineStr">
        <is>
          <t>Mumbai</t>
        </is>
      </c>
      <c r="G814" t="inlineStr">
        <is>
          <t>Jaipur</t>
        </is>
      </c>
      <c r="H814" t="inlineStr">
        <is>
          <t>Aramex</t>
        </is>
      </c>
      <c r="I814" t="inlineStr">
        <is>
          <t>Refrigerated Truck</t>
        </is>
      </c>
      <c r="J814" t="inlineStr">
        <is>
          <t>High</t>
        </is>
      </c>
      <c r="K814" t="inlineStr">
        <is>
          <t>Delivered</t>
        </is>
      </c>
      <c r="L814" t="n">
        <v>165.69</v>
      </c>
      <c r="M814" t="n">
        <v>1923</v>
      </c>
      <c r="N814" t="n">
        <v>60.16</v>
      </c>
      <c r="O814" t="n">
        <v>765.51</v>
      </c>
      <c r="P814" t="n">
        <v>1015.47</v>
      </c>
      <c r="Q814">
        <f>ROUND(L814*M814*N814/1000+O814+P814,2)</f>
        <v/>
      </c>
      <c r="R814" t="inlineStr">
        <is>
          <t>Yes</t>
        </is>
      </c>
      <c r="S814">
        <f>IF(OR(E814="",D814=""),"",MAX(0,E814-D814))</f>
        <v/>
      </c>
      <c r="T814" t="inlineStr">
        <is>
          <t>No</t>
        </is>
      </c>
      <c r="U814" t="n">
        <v>34</v>
      </c>
      <c r="V814" t="inlineStr">
        <is>
          <t>COD</t>
        </is>
      </c>
      <c r="W814" t="n">
        <v>3</v>
      </c>
      <c r="X814" t="inlineStr">
        <is>
          <t>Customs</t>
        </is>
      </c>
    </row>
    <row r="815">
      <c r="A815" t="inlineStr">
        <is>
          <t>ORD-2026-00814</t>
        </is>
      </c>
      <c r="B815" t="inlineStr">
        <is>
          <t>CUST-0077</t>
        </is>
      </c>
      <c r="C815" s="3" t="n">
        <v>46062</v>
      </c>
      <c r="D815" s="3" t="n">
        <v>46067</v>
      </c>
      <c r="E815" s="3" t="n">
        <v>46069</v>
      </c>
      <c r="F815" t="inlineStr">
        <is>
          <t>Jaipur</t>
        </is>
      </c>
      <c r="G815" t="inlineStr">
        <is>
          <t>Chennai</t>
        </is>
      </c>
      <c r="H815" t="inlineStr">
        <is>
          <t>BlueDart</t>
        </is>
      </c>
      <c r="I815" t="inlineStr">
        <is>
          <t>Bike</t>
        </is>
      </c>
      <c r="J815" t="inlineStr">
        <is>
          <t>High</t>
        </is>
      </c>
      <c r="K815" t="inlineStr">
        <is>
          <t>Delivered</t>
        </is>
      </c>
      <c r="L815" t="n">
        <v>613.62</v>
      </c>
      <c r="M815" t="n">
        <v>96</v>
      </c>
      <c r="N815" t="n">
        <v>32.73</v>
      </c>
      <c r="O815" t="n">
        <v>89.33</v>
      </c>
      <c r="P815" t="n">
        <v>1411.11</v>
      </c>
      <c r="Q815">
        <f>ROUND(L815*M815*N815/1000+O815+P815,2)</f>
        <v/>
      </c>
      <c r="R815" t="inlineStr">
        <is>
          <t>No</t>
        </is>
      </c>
      <c r="S815">
        <f>IF(OR(E815="",D815=""),"",MAX(0,E815-D815))</f>
        <v/>
      </c>
      <c r="T815" t="inlineStr">
        <is>
          <t>No</t>
        </is>
      </c>
      <c r="U815" t="n">
        <v>14</v>
      </c>
      <c r="V815" t="inlineStr">
        <is>
          <t>Pending</t>
        </is>
      </c>
      <c r="W815" t="n">
        <v>5</v>
      </c>
      <c r="X815" t="inlineStr">
        <is>
          <t>Address Error</t>
        </is>
      </c>
    </row>
    <row r="816">
      <c r="A816" t="inlineStr">
        <is>
          <t>ORD-2026-00815</t>
        </is>
      </c>
      <c r="B816" t="inlineStr">
        <is>
          <t>CUST-0103</t>
        </is>
      </c>
      <c r="C816" s="3" t="n">
        <v>46239</v>
      </c>
      <c r="D816" s="3" t="n">
        <v>46243</v>
      </c>
      <c r="E816" s="3" t="n">
        <v>46246</v>
      </c>
      <c r="F816" t="inlineStr">
        <is>
          <t>Chennai</t>
        </is>
      </c>
      <c r="G816" t="inlineStr">
        <is>
          <t>Kolkata</t>
        </is>
      </c>
      <c r="H816" t="inlineStr">
        <is>
          <t>FedEx</t>
        </is>
      </c>
      <c r="I816" t="inlineStr">
        <is>
          <t>Refrigerated Truck</t>
        </is>
      </c>
      <c r="J816" t="inlineStr">
        <is>
          <t>Low</t>
        </is>
      </c>
      <c r="K816" t="inlineStr">
        <is>
          <t>Delivered</t>
        </is>
      </c>
      <c r="L816" t="n">
        <v>2262.98</v>
      </c>
      <c r="M816" t="n">
        <v>408</v>
      </c>
      <c r="N816" t="n">
        <v>47.75</v>
      </c>
      <c r="O816" t="n">
        <v>2660.7</v>
      </c>
      <c r="P816" t="n">
        <v>630.71</v>
      </c>
      <c r="Q816">
        <f>ROUND(L816*M816*N816/1000+O816+P816,2)</f>
        <v/>
      </c>
      <c r="R816" t="inlineStr">
        <is>
          <t>No</t>
        </is>
      </c>
      <c r="S816">
        <f>IF(OR(E816="",D816=""),"",MAX(0,E816-D816))</f>
        <v/>
      </c>
      <c r="T816" t="inlineStr">
        <is>
          <t>Yes</t>
        </is>
      </c>
      <c r="U816" t="n">
        <v>21</v>
      </c>
      <c r="V816" t="inlineStr">
        <is>
          <t>Failed</t>
        </is>
      </c>
      <c r="W816" t="n">
        <v>1</v>
      </c>
      <c r="X816" t="inlineStr">
        <is>
          <t>Customer Unavailable</t>
        </is>
      </c>
    </row>
    <row r="817">
      <c r="A817" t="inlineStr">
        <is>
          <t>ORD-2026-00816</t>
        </is>
      </c>
      <c r="B817" t="inlineStr">
        <is>
          <t>CUST-0079</t>
        </is>
      </c>
      <c r="C817" s="3" t="n">
        <v>46103</v>
      </c>
      <c r="D817" s="3" t="n">
        <v>46104</v>
      </c>
      <c r="E817" s="3" t="n">
        <v>46104</v>
      </c>
      <c r="F817" t="inlineStr">
        <is>
          <t>Bengaluru</t>
        </is>
      </c>
      <c r="G817" t="inlineStr">
        <is>
          <t>Jaipur</t>
        </is>
      </c>
      <c r="H817" t="inlineStr">
        <is>
          <t>Delhivery</t>
        </is>
      </c>
      <c r="I817" t="inlineStr">
        <is>
          <t>Container</t>
        </is>
      </c>
      <c r="J817" t="inlineStr">
        <is>
          <t>Normal</t>
        </is>
      </c>
      <c r="K817" t="inlineStr">
        <is>
          <t>Delivered</t>
        </is>
      </c>
      <c r="L817" t="n">
        <v>385.54</v>
      </c>
      <c r="M817" t="n">
        <v>1943</v>
      </c>
      <c r="N817" t="n">
        <v>63.77</v>
      </c>
      <c r="O817" t="n">
        <v>2389.82</v>
      </c>
      <c r="P817" t="n">
        <v>568.16</v>
      </c>
      <c r="Q817">
        <f>ROUND(L817*M817*N817/1000+O817+P817,2)</f>
        <v/>
      </c>
      <c r="R817" t="inlineStr">
        <is>
          <t>Yes</t>
        </is>
      </c>
      <c r="S817">
        <f>IF(OR(E817="",D817=""),"",MAX(0,E817-D817))</f>
        <v/>
      </c>
      <c r="T817" t="inlineStr">
        <is>
          <t>No</t>
        </is>
      </c>
      <c r="U817" t="n">
        <v>56</v>
      </c>
      <c r="V817" t="inlineStr">
        <is>
          <t>Pending</t>
        </is>
      </c>
      <c r="W817" t="n">
        <v>3</v>
      </c>
      <c r="X817" t="inlineStr">
        <is>
          <t>Address Error</t>
        </is>
      </c>
    </row>
    <row r="818">
      <c r="A818" t="inlineStr">
        <is>
          <t>ORD-2026-00817</t>
        </is>
      </c>
      <c r="B818" t="inlineStr">
        <is>
          <t>CUST-0039</t>
        </is>
      </c>
      <c r="C818" s="3" t="n">
        <v>46179</v>
      </c>
      <c r="D818" s="3" t="n">
        <v>46182</v>
      </c>
      <c r="E818" s="3" t="n">
        <v>46182</v>
      </c>
      <c r="F818" t="inlineStr">
        <is>
          <t>Surat</t>
        </is>
      </c>
      <c r="G818" t="inlineStr">
        <is>
          <t>Chennai</t>
        </is>
      </c>
      <c r="H818" t="inlineStr">
        <is>
          <t>Delhivery</t>
        </is>
      </c>
      <c r="I818" t="inlineStr">
        <is>
          <t>Van</t>
        </is>
      </c>
      <c r="J818" t="inlineStr">
        <is>
          <t>Normal</t>
        </is>
      </c>
      <c r="K818" t="inlineStr">
        <is>
          <t>Delivered</t>
        </is>
      </c>
      <c r="L818" t="n">
        <v>1483.82</v>
      </c>
      <c r="M818" t="n">
        <v>344</v>
      </c>
      <c r="N818" t="n">
        <v>13.74</v>
      </c>
      <c r="O818" t="n">
        <v>245.04</v>
      </c>
      <c r="P818" t="n">
        <v>1111.4</v>
      </c>
      <c r="Q818">
        <f>ROUND(L818*M818*N818/1000+O818+P818,2)</f>
        <v/>
      </c>
      <c r="R818" t="inlineStr">
        <is>
          <t>Yes</t>
        </is>
      </c>
      <c r="S818">
        <f>IF(OR(E818="",D818=""),"",MAX(0,E818-D818))</f>
        <v/>
      </c>
      <c r="T818" t="inlineStr">
        <is>
          <t>Yes</t>
        </is>
      </c>
      <c r="U818" t="n">
        <v>1</v>
      </c>
      <c r="V818" t="inlineStr">
        <is>
          <t>Failed</t>
        </is>
      </c>
      <c r="W818" t="n">
        <v>2</v>
      </c>
      <c r="X818" t="inlineStr">
        <is>
          <t>None</t>
        </is>
      </c>
    </row>
    <row r="819">
      <c r="A819" t="inlineStr">
        <is>
          <t>ORD-2026-00818</t>
        </is>
      </c>
      <c r="B819" t="inlineStr">
        <is>
          <t>CUST-0080</t>
        </is>
      </c>
      <c r="C819" s="3" t="n">
        <v>46057</v>
      </c>
      <c r="D819" s="3" t="n">
        <v>46062</v>
      </c>
      <c r="E819" s="3" t="n">
        <v>46072</v>
      </c>
      <c r="F819" t="inlineStr">
        <is>
          <t>Hyderabad</t>
        </is>
      </c>
      <c r="G819" t="inlineStr">
        <is>
          <t>Mumbai</t>
        </is>
      </c>
      <c r="H819" t="inlineStr">
        <is>
          <t>BlueDart</t>
        </is>
      </c>
      <c r="I819" t="inlineStr">
        <is>
          <t>Bike</t>
        </is>
      </c>
      <c r="J819" t="inlineStr">
        <is>
          <t>Low</t>
        </is>
      </c>
      <c r="K819" t="inlineStr">
        <is>
          <t>Delivered</t>
        </is>
      </c>
      <c r="L819" t="n">
        <v>1714.31</v>
      </c>
      <c r="M819" t="n">
        <v>1468</v>
      </c>
      <c r="N819" t="n">
        <v>45.97</v>
      </c>
      <c r="O819" t="n">
        <v>4078.16</v>
      </c>
      <c r="P819" t="n">
        <v>264.53</v>
      </c>
      <c r="Q819">
        <f>ROUND(L819*M819*N819/1000+O819+P819,2)</f>
        <v/>
      </c>
      <c r="R819" t="inlineStr">
        <is>
          <t>No</t>
        </is>
      </c>
      <c r="S819">
        <f>IF(OR(E819="",D819=""),"",MAX(0,E819-D819))</f>
        <v/>
      </c>
      <c r="T819" t="inlineStr">
        <is>
          <t>Yes</t>
        </is>
      </c>
      <c r="U819" t="n">
        <v>79</v>
      </c>
      <c r="V819" t="inlineStr">
        <is>
          <t>Paid</t>
        </is>
      </c>
      <c r="W819" t="n">
        <v>2</v>
      </c>
      <c r="X819" t="inlineStr">
        <is>
          <t>Customer Unavailable</t>
        </is>
      </c>
    </row>
    <row r="820">
      <c r="A820" t="inlineStr">
        <is>
          <t>ORD-2026-00819</t>
        </is>
      </c>
      <c r="B820" t="inlineStr">
        <is>
          <t>CUST-0073</t>
        </is>
      </c>
      <c r="C820" s="3" t="n">
        <v>46066</v>
      </c>
      <c r="D820" s="3" t="n">
        <v>46073</v>
      </c>
      <c r="E820" s="3" t="n">
        <v>46075</v>
      </c>
      <c r="F820" t="inlineStr">
        <is>
          <t>Delhi</t>
        </is>
      </c>
      <c r="G820" t="inlineStr">
        <is>
          <t>Mumbai</t>
        </is>
      </c>
      <c r="H820" t="inlineStr">
        <is>
          <t>Delhivery</t>
        </is>
      </c>
      <c r="I820" t="inlineStr">
        <is>
          <t>Bike</t>
        </is>
      </c>
      <c r="J820" t="inlineStr">
        <is>
          <t>High</t>
        </is>
      </c>
      <c r="K820" t="inlineStr">
        <is>
          <t>Delivered</t>
        </is>
      </c>
      <c r="L820" t="n">
        <v>668.6900000000001</v>
      </c>
      <c r="M820" t="n">
        <v>1198</v>
      </c>
      <c r="N820" t="n">
        <v>43.08</v>
      </c>
      <c r="O820" t="n">
        <v>2124.68</v>
      </c>
      <c r="P820" t="n">
        <v>1251.07</v>
      </c>
      <c r="Q820">
        <f>ROUND(L820*M820*N820/1000+O820+P820,2)</f>
        <v/>
      </c>
      <c r="R820" t="inlineStr">
        <is>
          <t>No</t>
        </is>
      </c>
      <c r="S820">
        <f>IF(OR(E820="",D820=""),"",MAX(0,E820-D820))</f>
        <v/>
      </c>
      <c r="T820" t="inlineStr">
        <is>
          <t>Yes</t>
        </is>
      </c>
      <c r="U820" t="n">
        <v>66</v>
      </c>
      <c r="V820" t="inlineStr">
        <is>
          <t>Paid</t>
        </is>
      </c>
      <c r="W820" t="n">
        <v>4</v>
      </c>
      <c r="X820" t="inlineStr">
        <is>
          <t>Customs</t>
        </is>
      </c>
    </row>
    <row r="821">
      <c r="A821" t="inlineStr">
        <is>
          <t>ORD-2026-00820</t>
        </is>
      </c>
      <c r="B821" t="inlineStr">
        <is>
          <t>CUST-0076</t>
        </is>
      </c>
      <c r="C821" s="3" t="n">
        <v>46080</v>
      </c>
      <c r="D821" s="3" t="n">
        <v>46085</v>
      </c>
      <c r="E821" s="3" t="n">
        <v>46085</v>
      </c>
      <c r="F821" t="inlineStr">
        <is>
          <t>Chennai</t>
        </is>
      </c>
      <c r="G821" t="inlineStr">
        <is>
          <t>Chennai</t>
        </is>
      </c>
      <c r="H821" t="inlineStr">
        <is>
          <t>Aramex</t>
        </is>
      </c>
      <c r="I821" t="inlineStr">
        <is>
          <t>Truck</t>
        </is>
      </c>
      <c r="J821" t="inlineStr">
        <is>
          <t>High</t>
        </is>
      </c>
      <c r="K821" t="inlineStr">
        <is>
          <t>Delivered</t>
        </is>
      </c>
      <c r="L821" t="n">
        <v>1662.69</v>
      </c>
      <c r="M821" t="n">
        <v>1941</v>
      </c>
      <c r="N821" t="n">
        <v>54.19</v>
      </c>
      <c r="O821" t="n">
        <v>9011.040000000001</v>
      </c>
      <c r="P821" t="n">
        <v>773.14</v>
      </c>
      <c r="Q821">
        <f>ROUND(L821*M821*N821/1000+O821+P821,2)</f>
        <v/>
      </c>
      <c r="R821" t="inlineStr">
        <is>
          <t>Yes</t>
        </is>
      </c>
      <c r="S821">
        <f>IF(OR(E821="",D821=""),"",MAX(0,E821-D821))</f>
        <v/>
      </c>
      <c r="T821" t="inlineStr">
        <is>
          <t>No</t>
        </is>
      </c>
      <c r="U821" t="n">
        <v>27</v>
      </c>
      <c r="V821" t="inlineStr">
        <is>
          <t>Pending</t>
        </is>
      </c>
      <c r="W821" t="n">
        <v>4</v>
      </c>
      <c r="X821" t="inlineStr">
        <is>
          <t>Address Error</t>
        </is>
      </c>
    </row>
    <row r="822">
      <c r="A822" t="inlineStr">
        <is>
          <t>ORD-2026-00821</t>
        </is>
      </c>
      <c r="B822" t="inlineStr">
        <is>
          <t>CUST-0086</t>
        </is>
      </c>
      <c r="C822" s="3" t="n">
        <v>46203</v>
      </c>
      <c r="D822" s="3" t="n">
        <v>46206</v>
      </c>
      <c r="E822" s="3" t="n"/>
      <c r="F822" t="inlineStr">
        <is>
          <t>Hyderabad</t>
        </is>
      </c>
      <c r="G822" t="inlineStr">
        <is>
          <t>Kolkata</t>
        </is>
      </c>
      <c r="H822" t="inlineStr">
        <is>
          <t>DHL</t>
        </is>
      </c>
      <c r="I822" t="inlineStr">
        <is>
          <t>Container</t>
        </is>
      </c>
      <c r="J822" t="inlineStr">
        <is>
          <t>Critical</t>
        </is>
      </c>
      <c r="K822" t="inlineStr">
        <is>
          <t>In Transit</t>
        </is>
      </c>
      <c r="L822" t="n">
        <v>369.63</v>
      </c>
      <c r="M822" t="n">
        <v>1843</v>
      </c>
      <c r="N822" t="n">
        <v>15.19</v>
      </c>
      <c r="O822" t="n">
        <v>759.1799999999999</v>
      </c>
      <c r="P822" t="n">
        <v>438.06</v>
      </c>
      <c r="Q822">
        <f>ROUND(L822*M822*N822/1000+O822+P822,2)</f>
        <v/>
      </c>
      <c r="R822" t="inlineStr">
        <is>
          <t>No</t>
        </is>
      </c>
      <c r="S822">
        <f>IF(OR(E822="",D822=""),"",MAX(0,E822-D822))</f>
        <v/>
      </c>
      <c r="T822" t="inlineStr">
        <is>
          <t>No</t>
        </is>
      </c>
      <c r="U822" t="n">
        <v>16</v>
      </c>
      <c r="V822" t="inlineStr">
        <is>
          <t>COD</t>
        </is>
      </c>
      <c r="W822" t="n">
        <v>2</v>
      </c>
      <c r="X822" t="inlineStr">
        <is>
          <t>Weather</t>
        </is>
      </c>
    </row>
    <row r="823">
      <c r="A823" t="inlineStr">
        <is>
          <t>ORD-2026-00822</t>
        </is>
      </c>
      <c r="B823" t="inlineStr">
        <is>
          <t>CUST-0048</t>
        </is>
      </c>
      <c r="C823" s="3" t="n">
        <v>46190</v>
      </c>
      <c r="D823" s="3" t="n">
        <v>46191</v>
      </c>
      <c r="E823" s="3" t="n">
        <v>46191</v>
      </c>
      <c r="F823" t="inlineStr">
        <is>
          <t>Jaipur</t>
        </is>
      </c>
      <c r="G823" t="inlineStr">
        <is>
          <t>Jaipur</t>
        </is>
      </c>
      <c r="H823" t="inlineStr">
        <is>
          <t>Maersk</t>
        </is>
      </c>
      <c r="I823" t="inlineStr">
        <is>
          <t>Container</t>
        </is>
      </c>
      <c r="J823" t="inlineStr">
        <is>
          <t>High</t>
        </is>
      </c>
      <c r="K823" t="inlineStr">
        <is>
          <t>Delivered</t>
        </is>
      </c>
      <c r="L823" t="n">
        <v>863.04</v>
      </c>
      <c r="M823" t="n">
        <v>205</v>
      </c>
      <c r="N823" t="n">
        <v>9.789999999999999</v>
      </c>
      <c r="O823" t="n">
        <v>140.62</v>
      </c>
      <c r="P823" t="n">
        <v>393.23</v>
      </c>
      <c r="Q823">
        <f>ROUND(L823*M823*N823/1000+O823+P823,2)</f>
        <v/>
      </c>
      <c r="R823" t="inlineStr">
        <is>
          <t>Yes</t>
        </is>
      </c>
      <c r="S823">
        <f>IF(OR(E823="",D823=""),"",MAX(0,E823-D823))</f>
        <v/>
      </c>
      <c r="T823" t="inlineStr">
        <is>
          <t>No</t>
        </is>
      </c>
      <c r="U823" t="n">
        <v>18</v>
      </c>
      <c r="V823" t="inlineStr">
        <is>
          <t>COD</t>
        </is>
      </c>
      <c r="W823" t="n">
        <v>4</v>
      </c>
      <c r="X823" t="inlineStr">
        <is>
          <t>Damaged Package</t>
        </is>
      </c>
    </row>
    <row r="824">
      <c r="A824" t="inlineStr">
        <is>
          <t>ORD-2026-00823</t>
        </is>
      </c>
      <c r="B824" t="inlineStr">
        <is>
          <t>CUST-0011</t>
        </is>
      </c>
      <c r="C824" s="3" t="n">
        <v>46103</v>
      </c>
      <c r="D824" s="3" t="n">
        <v>46106</v>
      </c>
      <c r="E824" s="3" t="n">
        <v>46106</v>
      </c>
      <c r="F824" t="inlineStr">
        <is>
          <t>Delhi</t>
        </is>
      </c>
      <c r="G824" t="inlineStr">
        <is>
          <t>Bengaluru</t>
        </is>
      </c>
      <c r="H824" t="inlineStr">
        <is>
          <t>DTDC</t>
        </is>
      </c>
      <c r="I824" t="inlineStr">
        <is>
          <t>Bike</t>
        </is>
      </c>
      <c r="J824" t="inlineStr">
        <is>
          <t>Critical</t>
        </is>
      </c>
      <c r="K824" t="inlineStr">
        <is>
          <t>Delivered</t>
        </is>
      </c>
      <c r="L824" t="n">
        <v>2385.75</v>
      </c>
      <c r="M824" t="n">
        <v>1708</v>
      </c>
      <c r="N824" t="n">
        <v>13.31</v>
      </c>
      <c r="O824" t="n">
        <v>4476.2</v>
      </c>
      <c r="P824" t="n">
        <v>515.14</v>
      </c>
      <c r="Q824">
        <f>ROUND(L824*M824*N824/1000+O824+P824,2)</f>
        <v/>
      </c>
      <c r="R824" t="inlineStr">
        <is>
          <t>Yes</t>
        </is>
      </c>
      <c r="S824">
        <f>IF(OR(E824="",D824=""),"",MAX(0,E824-D824))</f>
        <v/>
      </c>
      <c r="T824" t="inlineStr">
        <is>
          <t>No</t>
        </is>
      </c>
      <c r="U824" t="n">
        <v>26</v>
      </c>
      <c r="V824" t="inlineStr">
        <is>
          <t>Pending</t>
        </is>
      </c>
      <c r="W824" t="n">
        <v>4</v>
      </c>
      <c r="X824" t="inlineStr">
        <is>
          <t>None</t>
        </is>
      </c>
    </row>
    <row r="825">
      <c r="A825" t="inlineStr">
        <is>
          <t>ORD-2026-00824</t>
        </is>
      </c>
      <c r="B825" t="inlineStr">
        <is>
          <t>CUST-0249</t>
        </is>
      </c>
      <c r="C825" s="3" t="n">
        <v>46220</v>
      </c>
      <c r="D825" s="3" t="n">
        <v>46221</v>
      </c>
      <c r="E825" s="3" t="n">
        <v>46222</v>
      </c>
      <c r="F825" t="inlineStr">
        <is>
          <t>Surat</t>
        </is>
      </c>
      <c r="G825" t="inlineStr">
        <is>
          <t>Bengaluru</t>
        </is>
      </c>
      <c r="H825" t="inlineStr">
        <is>
          <t>DHL</t>
        </is>
      </c>
      <c r="I825" t="inlineStr">
        <is>
          <t>Truck</t>
        </is>
      </c>
      <c r="J825" t="inlineStr">
        <is>
          <t>High</t>
        </is>
      </c>
      <c r="K825" t="inlineStr">
        <is>
          <t>Delivered</t>
        </is>
      </c>
      <c r="L825" t="n">
        <v>2000.62</v>
      </c>
      <c r="M825" t="n">
        <v>1532</v>
      </c>
      <c r="N825" t="n">
        <v>27.22</v>
      </c>
      <c r="O825" t="n">
        <v>3026.42</v>
      </c>
      <c r="P825" t="n">
        <v>1161.92</v>
      </c>
      <c r="Q825">
        <f>ROUND(L825*M825*N825/1000+O825+P825,2)</f>
        <v/>
      </c>
      <c r="R825" t="inlineStr">
        <is>
          <t>No</t>
        </is>
      </c>
      <c r="S825">
        <f>IF(OR(E825="",D825=""),"",MAX(0,E825-D825))</f>
        <v/>
      </c>
      <c r="T825" t="inlineStr">
        <is>
          <t>No</t>
        </is>
      </c>
      <c r="U825" t="n">
        <v>68</v>
      </c>
      <c r="V825" t="inlineStr">
        <is>
          <t>Failed</t>
        </is>
      </c>
      <c r="W825" t="n">
        <v>5</v>
      </c>
      <c r="X825" t="inlineStr">
        <is>
          <t>Customs</t>
        </is>
      </c>
    </row>
    <row r="826">
      <c r="A826" t="inlineStr">
        <is>
          <t>ORD-2026-00825</t>
        </is>
      </c>
      <c r="B826" t="inlineStr">
        <is>
          <t>CUST-0194</t>
        </is>
      </c>
      <c r="C826" s="3" t="n">
        <v>46179</v>
      </c>
      <c r="D826" s="3" t="n">
        <v>46183</v>
      </c>
      <c r="E826" s="3" t="n">
        <v>46183</v>
      </c>
      <c r="F826" t="inlineStr">
        <is>
          <t>Jaipur</t>
        </is>
      </c>
      <c r="G826" t="inlineStr">
        <is>
          <t>Ahmedabad</t>
        </is>
      </c>
      <c r="H826" t="inlineStr">
        <is>
          <t>FedEx</t>
        </is>
      </c>
      <c r="I826" t="inlineStr">
        <is>
          <t>Refrigerated Truck</t>
        </is>
      </c>
      <c r="J826" t="inlineStr">
        <is>
          <t>Low</t>
        </is>
      </c>
      <c r="K826" t="inlineStr">
        <is>
          <t>Delivered</t>
        </is>
      </c>
      <c r="L826" t="n">
        <v>2000.8</v>
      </c>
      <c r="M826" t="n">
        <v>1868</v>
      </c>
      <c r="N826" t="n">
        <v>62.96</v>
      </c>
      <c r="O826" t="n">
        <v>15403.22</v>
      </c>
      <c r="P826" t="n">
        <v>449.49</v>
      </c>
      <c r="Q826">
        <f>ROUND(L826*M826*N826/1000+O826+P826,2)</f>
        <v/>
      </c>
      <c r="R826" t="inlineStr">
        <is>
          <t>Yes</t>
        </is>
      </c>
      <c r="S826">
        <f>IF(OR(E826="",D826=""),"",MAX(0,E826-D826))</f>
        <v/>
      </c>
      <c r="T826" t="inlineStr">
        <is>
          <t>No</t>
        </is>
      </c>
      <c r="U826" t="n">
        <v>76</v>
      </c>
      <c r="V826" t="inlineStr">
        <is>
          <t>Paid</t>
        </is>
      </c>
      <c r="W826" t="n">
        <v>4</v>
      </c>
      <c r="X826" t="inlineStr">
        <is>
          <t>Customer Unavailable</t>
        </is>
      </c>
    </row>
    <row r="827">
      <c r="A827" t="inlineStr">
        <is>
          <t>ORD-2026-00826</t>
        </is>
      </c>
      <c r="B827" t="inlineStr">
        <is>
          <t>CUST-0229</t>
        </is>
      </c>
      <c r="C827" s="3" t="n">
        <v>46129</v>
      </c>
      <c r="D827" s="3" t="n">
        <v>46137</v>
      </c>
      <c r="E827" s="3" t="n">
        <v>46142</v>
      </c>
      <c r="F827" t="inlineStr">
        <is>
          <t>Ahmedabad</t>
        </is>
      </c>
      <c r="G827" t="inlineStr">
        <is>
          <t>Bengaluru</t>
        </is>
      </c>
      <c r="H827" t="inlineStr">
        <is>
          <t>Maersk</t>
        </is>
      </c>
      <c r="I827" t="inlineStr">
        <is>
          <t>Bike</t>
        </is>
      </c>
      <c r="J827" t="inlineStr">
        <is>
          <t>High</t>
        </is>
      </c>
      <c r="K827" t="inlineStr">
        <is>
          <t>Delivered</t>
        </is>
      </c>
      <c r="L827" t="n">
        <v>577.75</v>
      </c>
      <c r="M827" t="n">
        <v>1295</v>
      </c>
      <c r="N827" t="n">
        <v>55.58</v>
      </c>
      <c r="O827" t="n">
        <v>1803.67</v>
      </c>
      <c r="P827" t="n">
        <v>411.76</v>
      </c>
      <c r="Q827">
        <f>ROUND(L827*M827*N827/1000+O827+P827,2)</f>
        <v/>
      </c>
      <c r="R827" t="inlineStr">
        <is>
          <t>No</t>
        </is>
      </c>
      <c r="S827">
        <f>IF(OR(E827="",D827=""),"",MAX(0,E827-D827))</f>
        <v/>
      </c>
      <c r="T827" t="inlineStr">
        <is>
          <t>No</t>
        </is>
      </c>
      <c r="U827" t="n">
        <v>34</v>
      </c>
      <c r="V827" t="inlineStr">
        <is>
          <t>Paid</t>
        </is>
      </c>
      <c r="W827" t="n">
        <v>5</v>
      </c>
      <c r="X827" t="inlineStr">
        <is>
          <t>Address Error</t>
        </is>
      </c>
    </row>
    <row r="828">
      <c r="A828" t="inlineStr">
        <is>
          <t>ORD-2026-00827</t>
        </is>
      </c>
      <c r="B828" t="inlineStr">
        <is>
          <t>CUST-0138</t>
        </is>
      </c>
      <c r="C828" s="3" t="n">
        <v>46033</v>
      </c>
      <c r="D828" s="3" t="n">
        <v>46037</v>
      </c>
      <c r="E828" s="3" t="n">
        <v>46042</v>
      </c>
      <c r="F828" t="inlineStr">
        <is>
          <t>Surat</t>
        </is>
      </c>
      <c r="G828" t="inlineStr">
        <is>
          <t>Chennai</t>
        </is>
      </c>
      <c r="H828" t="inlineStr">
        <is>
          <t>BlueDart</t>
        </is>
      </c>
      <c r="I828" t="inlineStr">
        <is>
          <t>Bike</t>
        </is>
      </c>
      <c r="J828" t="inlineStr">
        <is>
          <t>High</t>
        </is>
      </c>
      <c r="K828" t="inlineStr">
        <is>
          <t>Delivered</t>
        </is>
      </c>
      <c r="L828" t="n">
        <v>992.75</v>
      </c>
      <c r="M828" t="n">
        <v>1766</v>
      </c>
      <c r="N828" t="n">
        <v>10.72</v>
      </c>
      <c r="O828" t="n">
        <v>649.65</v>
      </c>
      <c r="P828" t="n">
        <v>1208.86</v>
      </c>
      <c r="Q828">
        <f>ROUND(L828*M828*N828/1000+O828+P828,2)</f>
        <v/>
      </c>
      <c r="R828" t="inlineStr">
        <is>
          <t>No</t>
        </is>
      </c>
      <c r="S828">
        <f>IF(OR(E828="",D828=""),"",MAX(0,E828-D828))</f>
        <v/>
      </c>
      <c r="T828" t="inlineStr">
        <is>
          <t>Yes</t>
        </is>
      </c>
      <c r="U828" t="n">
        <v>64</v>
      </c>
      <c r="V828" t="inlineStr">
        <is>
          <t>Pending</t>
        </is>
      </c>
      <c r="W828" t="n">
        <v>5</v>
      </c>
      <c r="X828" t="inlineStr">
        <is>
          <t>Damaged Package</t>
        </is>
      </c>
    </row>
    <row r="829">
      <c r="A829" t="inlineStr">
        <is>
          <t>ORD-2026-00828</t>
        </is>
      </c>
      <c r="B829" t="inlineStr">
        <is>
          <t>CUST-0052</t>
        </is>
      </c>
      <c r="C829" s="3" t="n">
        <v>46164</v>
      </c>
      <c r="D829" s="3" t="n">
        <v>46169</v>
      </c>
      <c r="E829" s="3" t="n">
        <v>46171</v>
      </c>
      <c r="F829" t="inlineStr">
        <is>
          <t>Ahmedabad</t>
        </is>
      </c>
      <c r="G829" t="inlineStr">
        <is>
          <t>Chennai</t>
        </is>
      </c>
      <c r="H829" t="inlineStr">
        <is>
          <t>BlueDart</t>
        </is>
      </c>
      <c r="I829" t="inlineStr">
        <is>
          <t>Refrigerated Truck</t>
        </is>
      </c>
      <c r="J829" t="inlineStr">
        <is>
          <t>Normal</t>
        </is>
      </c>
      <c r="K829" t="inlineStr">
        <is>
          <t>Delivered</t>
        </is>
      </c>
      <c r="L829" t="n">
        <v>2314.11</v>
      </c>
      <c r="M829" t="n">
        <v>1598</v>
      </c>
      <c r="N829" t="n">
        <v>39.96</v>
      </c>
      <c r="O829" t="n">
        <v>7346.42</v>
      </c>
      <c r="P829" t="n">
        <v>826.6900000000001</v>
      </c>
      <c r="Q829">
        <f>ROUND(L829*M829*N829/1000+O829+P829,2)</f>
        <v/>
      </c>
      <c r="R829" t="inlineStr">
        <is>
          <t>No</t>
        </is>
      </c>
      <c r="S829">
        <f>IF(OR(E829="",D829=""),"",MAX(0,E829-D829))</f>
        <v/>
      </c>
      <c r="T829" t="inlineStr">
        <is>
          <t>No</t>
        </is>
      </c>
      <c r="U829" t="n">
        <v>3</v>
      </c>
      <c r="V829" t="inlineStr">
        <is>
          <t>Paid</t>
        </is>
      </c>
      <c r="W829" t="n">
        <v>2</v>
      </c>
      <c r="X829" t="inlineStr">
        <is>
          <t>Damaged Package</t>
        </is>
      </c>
    </row>
    <row r="830">
      <c r="A830" t="inlineStr">
        <is>
          <t>ORD-2026-00829</t>
        </is>
      </c>
      <c r="B830" t="inlineStr">
        <is>
          <t>CUST-0025</t>
        </is>
      </c>
      <c r="C830" s="3" t="n">
        <v>46210</v>
      </c>
      <c r="D830" s="3" t="n">
        <v>46215</v>
      </c>
      <c r="E830" s="3" t="n">
        <v>46215</v>
      </c>
      <c r="F830" t="inlineStr">
        <is>
          <t>Pune</t>
        </is>
      </c>
      <c r="G830" t="inlineStr">
        <is>
          <t>Pune</t>
        </is>
      </c>
      <c r="H830" t="inlineStr">
        <is>
          <t>DTDC</t>
        </is>
      </c>
      <c r="I830" t="inlineStr">
        <is>
          <t>Bike</t>
        </is>
      </c>
      <c r="J830" t="inlineStr">
        <is>
          <t>Low</t>
        </is>
      </c>
      <c r="K830" t="inlineStr">
        <is>
          <t>Delivered</t>
        </is>
      </c>
      <c r="L830" t="n">
        <v>643.1</v>
      </c>
      <c r="M830" t="n">
        <v>667</v>
      </c>
      <c r="N830" t="n">
        <v>59.64</v>
      </c>
      <c r="O830" t="n">
        <v>1080.75</v>
      </c>
      <c r="P830" t="n">
        <v>262.58</v>
      </c>
      <c r="Q830">
        <f>ROUND(L830*M830*N830/1000+O830+P830,2)</f>
        <v/>
      </c>
      <c r="R830" t="inlineStr">
        <is>
          <t>Yes</t>
        </is>
      </c>
      <c r="S830">
        <f>IF(OR(E830="",D830=""),"",MAX(0,E830-D830))</f>
        <v/>
      </c>
      <c r="T830" t="inlineStr">
        <is>
          <t>Yes</t>
        </is>
      </c>
      <c r="U830" t="n">
        <v>20</v>
      </c>
      <c r="V830" t="inlineStr">
        <is>
          <t>Paid</t>
        </is>
      </c>
      <c r="W830" t="n">
        <v>1</v>
      </c>
      <c r="X830" t="inlineStr">
        <is>
          <t>Address Error</t>
        </is>
      </c>
    </row>
    <row r="831">
      <c r="A831" t="inlineStr">
        <is>
          <t>ORD-2026-00830</t>
        </is>
      </c>
      <c r="B831" t="inlineStr">
        <is>
          <t>CUST-0131</t>
        </is>
      </c>
      <c r="C831" s="3" t="n">
        <v>46039</v>
      </c>
      <c r="D831" s="3" t="n">
        <v>46044</v>
      </c>
      <c r="E831" s="3" t="n">
        <v>46054</v>
      </c>
      <c r="F831" t="inlineStr">
        <is>
          <t>Mumbai</t>
        </is>
      </c>
      <c r="G831" t="inlineStr">
        <is>
          <t>Jaipur</t>
        </is>
      </c>
      <c r="H831" t="inlineStr">
        <is>
          <t>Maersk</t>
        </is>
      </c>
      <c r="I831" t="inlineStr">
        <is>
          <t>Bike</t>
        </is>
      </c>
      <c r="J831" t="inlineStr">
        <is>
          <t>High</t>
        </is>
      </c>
      <c r="K831" t="inlineStr">
        <is>
          <t>Delivered</t>
        </is>
      </c>
      <c r="L831" t="n">
        <v>1128.5</v>
      </c>
      <c r="M831" t="n">
        <v>502</v>
      </c>
      <c r="N831" t="n">
        <v>36.53</v>
      </c>
      <c r="O831" t="n">
        <v>1657.87</v>
      </c>
      <c r="P831" t="n">
        <v>811.2</v>
      </c>
      <c r="Q831">
        <f>ROUND(L831*M831*N831/1000+O831+P831,2)</f>
        <v/>
      </c>
      <c r="R831" t="inlineStr">
        <is>
          <t>No</t>
        </is>
      </c>
      <c r="S831">
        <f>IF(OR(E831="",D831=""),"",MAX(0,E831-D831))</f>
        <v/>
      </c>
      <c r="T831" t="inlineStr">
        <is>
          <t>Yes</t>
        </is>
      </c>
      <c r="U831" t="n">
        <v>46</v>
      </c>
      <c r="V831" t="inlineStr">
        <is>
          <t>Paid</t>
        </is>
      </c>
      <c r="W831" t="n">
        <v>3</v>
      </c>
      <c r="X831" t="inlineStr">
        <is>
          <t>Address Error</t>
        </is>
      </c>
    </row>
    <row r="832">
      <c r="A832" t="inlineStr">
        <is>
          <t>ORD-2026-00831</t>
        </is>
      </c>
      <c r="B832" t="inlineStr">
        <is>
          <t>CUST-0017</t>
        </is>
      </c>
      <c r="C832" s="3" t="n">
        <v>46122</v>
      </c>
      <c r="D832" s="3" t="n">
        <v>46126</v>
      </c>
      <c r="E832" s="3" t="n">
        <v>46126</v>
      </c>
      <c r="F832" t="inlineStr">
        <is>
          <t>Delhi</t>
        </is>
      </c>
      <c r="G832" t="inlineStr">
        <is>
          <t>Delhi</t>
        </is>
      </c>
      <c r="H832" t="inlineStr">
        <is>
          <t>FedEx</t>
        </is>
      </c>
      <c r="I832" t="inlineStr">
        <is>
          <t>Truck</t>
        </is>
      </c>
      <c r="J832" t="inlineStr">
        <is>
          <t>Normal</t>
        </is>
      </c>
      <c r="K832" t="inlineStr">
        <is>
          <t>Delivered</t>
        </is>
      </c>
      <c r="L832" t="n">
        <v>46.06</v>
      </c>
      <c r="M832" t="n">
        <v>2545</v>
      </c>
      <c r="N832" t="n">
        <v>53.85</v>
      </c>
      <c r="O832" t="n">
        <v>489.84</v>
      </c>
      <c r="P832" t="n">
        <v>147.91</v>
      </c>
      <c r="Q832">
        <f>ROUND(L832*M832*N832/1000+O832+P832,2)</f>
        <v/>
      </c>
      <c r="R832" t="inlineStr">
        <is>
          <t>Yes</t>
        </is>
      </c>
      <c r="S832">
        <f>IF(OR(E832="",D832=""),"",MAX(0,E832-D832))</f>
        <v/>
      </c>
      <c r="T832" t="inlineStr">
        <is>
          <t>No</t>
        </is>
      </c>
      <c r="U832" t="n">
        <v>45</v>
      </c>
      <c r="V832" t="inlineStr">
        <is>
          <t>Paid</t>
        </is>
      </c>
      <c r="W832" t="n">
        <v>3</v>
      </c>
      <c r="X832" t="inlineStr">
        <is>
          <t>Customer Unavailable</t>
        </is>
      </c>
    </row>
    <row r="833">
      <c r="A833" t="inlineStr">
        <is>
          <t>ORD-2026-00832</t>
        </is>
      </c>
      <c r="B833" t="inlineStr">
        <is>
          <t>CUST-0151</t>
        </is>
      </c>
      <c r="C833" s="3" t="n">
        <v>46122</v>
      </c>
      <c r="D833" s="3" t="n">
        <v>46129</v>
      </c>
      <c r="E833" s="3" t="n">
        <v>46129</v>
      </c>
      <c r="F833" t="inlineStr">
        <is>
          <t>Mumbai</t>
        </is>
      </c>
      <c r="G833" t="inlineStr">
        <is>
          <t>Bengaluru</t>
        </is>
      </c>
      <c r="H833" t="inlineStr">
        <is>
          <t>Aramex</t>
        </is>
      </c>
      <c r="I833" t="inlineStr">
        <is>
          <t>Container</t>
        </is>
      </c>
      <c r="J833" t="inlineStr">
        <is>
          <t>Critical</t>
        </is>
      </c>
      <c r="K833" t="inlineStr">
        <is>
          <t>Delivered</t>
        </is>
      </c>
      <c r="L833" t="n">
        <v>2029.62</v>
      </c>
      <c r="M833" t="n">
        <v>874</v>
      </c>
      <c r="N833" t="n">
        <v>17.55</v>
      </c>
      <c r="O833" t="n">
        <v>2094.06</v>
      </c>
      <c r="P833" t="n">
        <v>735.47</v>
      </c>
      <c r="Q833">
        <f>ROUND(L833*M833*N833/1000+O833+P833,2)</f>
        <v/>
      </c>
      <c r="R833" t="inlineStr">
        <is>
          <t>Yes</t>
        </is>
      </c>
      <c r="S833">
        <f>IF(OR(E833="",D833=""),"",MAX(0,E833-D833))</f>
        <v/>
      </c>
      <c r="T833" t="inlineStr">
        <is>
          <t>No</t>
        </is>
      </c>
      <c r="U833" t="n">
        <v>42</v>
      </c>
      <c r="V833" t="inlineStr">
        <is>
          <t>COD</t>
        </is>
      </c>
      <c r="W833" t="n">
        <v>2</v>
      </c>
      <c r="X833" t="inlineStr">
        <is>
          <t>None</t>
        </is>
      </c>
    </row>
    <row r="834">
      <c r="A834" t="inlineStr">
        <is>
          <t>ORD-2026-00833</t>
        </is>
      </c>
      <c r="B834" t="inlineStr">
        <is>
          <t>CUST-0215</t>
        </is>
      </c>
      <c r="C834" s="3" t="n">
        <v>46032</v>
      </c>
      <c r="D834" s="3" t="n">
        <v>46040</v>
      </c>
      <c r="E834" s="3" t="n">
        <v>46040</v>
      </c>
      <c r="F834" t="inlineStr">
        <is>
          <t>Ahmedabad</t>
        </is>
      </c>
      <c r="G834" t="inlineStr">
        <is>
          <t>Hyderabad</t>
        </is>
      </c>
      <c r="H834" t="inlineStr">
        <is>
          <t>Aramex</t>
        </is>
      </c>
      <c r="I834" t="inlineStr">
        <is>
          <t>Container</t>
        </is>
      </c>
      <c r="J834" t="inlineStr">
        <is>
          <t>Low</t>
        </is>
      </c>
      <c r="K834" t="inlineStr">
        <is>
          <t>Delivered</t>
        </is>
      </c>
      <c r="L834" t="n">
        <v>43.29</v>
      </c>
      <c r="M834" t="n">
        <v>2727</v>
      </c>
      <c r="N834" t="n">
        <v>61.23</v>
      </c>
      <c r="O834" t="n">
        <v>498.2</v>
      </c>
      <c r="P834" t="n">
        <v>634.99</v>
      </c>
      <c r="Q834">
        <f>ROUND(L834*M834*N834/1000+O834+P834,2)</f>
        <v/>
      </c>
      <c r="R834" t="inlineStr">
        <is>
          <t>Yes</t>
        </is>
      </c>
      <c r="S834">
        <f>IF(OR(E834="",D834=""),"",MAX(0,E834-D834))</f>
        <v/>
      </c>
      <c r="T834" t="inlineStr">
        <is>
          <t>Yes</t>
        </is>
      </c>
      <c r="U834" t="n">
        <v>13</v>
      </c>
      <c r="V834" t="inlineStr">
        <is>
          <t>Paid</t>
        </is>
      </c>
      <c r="W834" t="n">
        <v>5</v>
      </c>
      <c r="X834" t="inlineStr">
        <is>
          <t>Address Error</t>
        </is>
      </c>
    </row>
    <row r="835">
      <c r="A835" t="inlineStr">
        <is>
          <t>ORD-2026-00834</t>
        </is>
      </c>
      <c r="B835" t="inlineStr">
        <is>
          <t>CUST-0082</t>
        </is>
      </c>
      <c r="C835" s="3" t="n">
        <v>46144</v>
      </c>
      <c r="D835" s="3" t="n">
        <v>46152</v>
      </c>
      <c r="E835" s="3" t="n">
        <v>46153</v>
      </c>
      <c r="F835" t="inlineStr">
        <is>
          <t>Bengaluru</t>
        </is>
      </c>
      <c r="G835" t="inlineStr">
        <is>
          <t>Pune</t>
        </is>
      </c>
      <c r="H835" t="inlineStr">
        <is>
          <t>DTDC</t>
        </is>
      </c>
      <c r="I835" t="inlineStr">
        <is>
          <t>Container</t>
        </is>
      </c>
      <c r="J835" t="inlineStr">
        <is>
          <t>High</t>
        </is>
      </c>
      <c r="K835" t="inlineStr">
        <is>
          <t>Delivered</t>
        </is>
      </c>
      <c r="L835" t="n">
        <v>1904.08</v>
      </c>
      <c r="M835" t="n">
        <v>495</v>
      </c>
      <c r="N835" t="n">
        <v>43.62</v>
      </c>
      <c r="O835" t="n">
        <v>1313.5</v>
      </c>
      <c r="P835" t="n">
        <v>1256.14</v>
      </c>
      <c r="Q835">
        <f>ROUND(L835*M835*N835/1000+O835+P835,2)</f>
        <v/>
      </c>
      <c r="R835" t="inlineStr">
        <is>
          <t>No</t>
        </is>
      </c>
      <c r="S835">
        <f>IF(OR(E835="",D835=""),"",MAX(0,E835-D835))</f>
        <v/>
      </c>
      <c r="T835" t="inlineStr">
        <is>
          <t>Yes</t>
        </is>
      </c>
      <c r="U835" t="n">
        <v>14</v>
      </c>
      <c r="V835" t="inlineStr">
        <is>
          <t>Paid</t>
        </is>
      </c>
      <c r="W835" t="n">
        <v>3</v>
      </c>
      <c r="X835" t="inlineStr">
        <is>
          <t>Damaged Package</t>
        </is>
      </c>
    </row>
    <row r="836">
      <c r="A836" t="inlineStr">
        <is>
          <t>ORD-2026-00835</t>
        </is>
      </c>
      <c r="B836" t="inlineStr">
        <is>
          <t>CUST-0128</t>
        </is>
      </c>
      <c r="C836" s="3" t="n">
        <v>46058</v>
      </c>
      <c r="D836" s="3" t="n">
        <v>46063</v>
      </c>
      <c r="E836" s="3" t="n">
        <v>46065</v>
      </c>
      <c r="F836" t="inlineStr">
        <is>
          <t>Pune</t>
        </is>
      </c>
      <c r="G836" t="inlineStr">
        <is>
          <t>Pune</t>
        </is>
      </c>
      <c r="H836" t="inlineStr">
        <is>
          <t>Delhivery</t>
        </is>
      </c>
      <c r="I836" t="inlineStr">
        <is>
          <t>Van</t>
        </is>
      </c>
      <c r="J836" t="inlineStr">
        <is>
          <t>Low</t>
        </is>
      </c>
      <c r="K836" t="inlineStr">
        <is>
          <t>Delivered</t>
        </is>
      </c>
      <c r="L836" t="n">
        <v>702.03</v>
      </c>
      <c r="M836" t="n">
        <v>1692</v>
      </c>
      <c r="N836" t="n">
        <v>63.93</v>
      </c>
      <c r="O836" t="n">
        <v>6721.13</v>
      </c>
      <c r="P836" t="n">
        <v>558.4</v>
      </c>
      <c r="Q836">
        <f>ROUND(L836*M836*N836/1000+O836+P836,2)</f>
        <v/>
      </c>
      <c r="R836" t="inlineStr">
        <is>
          <t>No</t>
        </is>
      </c>
      <c r="S836">
        <f>IF(OR(E836="",D836=""),"",MAX(0,E836-D836))</f>
        <v/>
      </c>
      <c r="T836" t="inlineStr">
        <is>
          <t>No</t>
        </is>
      </c>
      <c r="U836" t="n">
        <v>42</v>
      </c>
      <c r="V836" t="inlineStr">
        <is>
          <t>Pending</t>
        </is>
      </c>
      <c r="W836" t="n">
        <v>1</v>
      </c>
      <c r="X836" t="inlineStr">
        <is>
          <t>Customer Unavailable</t>
        </is>
      </c>
    </row>
    <row r="837">
      <c r="A837" t="inlineStr">
        <is>
          <t>ORD-2026-00836</t>
        </is>
      </c>
      <c r="B837" t="inlineStr">
        <is>
          <t>CUST-0150</t>
        </is>
      </c>
      <c r="C837" s="3" t="n">
        <v>46058</v>
      </c>
      <c r="D837" s="3" t="n">
        <v>46060</v>
      </c>
      <c r="E837" s="3" t="n">
        <v>46060</v>
      </c>
      <c r="F837" t="inlineStr">
        <is>
          <t>Mumbai</t>
        </is>
      </c>
      <c r="G837" t="inlineStr">
        <is>
          <t>Bengaluru</t>
        </is>
      </c>
      <c r="H837" t="inlineStr">
        <is>
          <t>BlueDart</t>
        </is>
      </c>
      <c r="I837" t="inlineStr">
        <is>
          <t>Refrigerated Truck</t>
        </is>
      </c>
      <c r="J837" t="inlineStr">
        <is>
          <t>High</t>
        </is>
      </c>
      <c r="K837" t="inlineStr">
        <is>
          <t>Delivered</t>
        </is>
      </c>
      <c r="L837" t="n">
        <v>660.87</v>
      </c>
      <c r="M837" t="n">
        <v>1372</v>
      </c>
      <c r="N837" t="n">
        <v>26.14</v>
      </c>
      <c r="O837" t="n">
        <v>887</v>
      </c>
      <c r="P837" t="n">
        <v>873.09</v>
      </c>
      <c r="Q837">
        <f>ROUND(L837*M837*N837/1000+O837+P837,2)</f>
        <v/>
      </c>
      <c r="R837" t="inlineStr">
        <is>
          <t>Yes</t>
        </is>
      </c>
      <c r="S837">
        <f>IF(OR(E837="",D837=""),"",MAX(0,E837-D837))</f>
        <v/>
      </c>
      <c r="T837" t="inlineStr">
        <is>
          <t>Yes</t>
        </is>
      </c>
      <c r="U837" t="n">
        <v>71</v>
      </c>
      <c r="V837" t="inlineStr">
        <is>
          <t>COD</t>
        </is>
      </c>
      <c r="W837" t="n">
        <v>5</v>
      </c>
      <c r="X837" t="inlineStr">
        <is>
          <t>Damaged Package</t>
        </is>
      </c>
    </row>
    <row r="838">
      <c r="A838" t="inlineStr">
        <is>
          <t>ORD-2026-00837</t>
        </is>
      </c>
      <c r="B838" t="inlineStr">
        <is>
          <t>CUST-0036</t>
        </is>
      </c>
      <c r="C838" s="3" t="n">
        <v>46099</v>
      </c>
      <c r="D838" s="3" t="n">
        <v>46101</v>
      </c>
      <c r="E838" s="3" t="n">
        <v>46104</v>
      </c>
      <c r="F838" t="inlineStr">
        <is>
          <t>Mumbai</t>
        </is>
      </c>
      <c r="G838" t="inlineStr">
        <is>
          <t>Mumbai</t>
        </is>
      </c>
      <c r="H838" t="inlineStr">
        <is>
          <t>DTDC</t>
        </is>
      </c>
      <c r="I838" t="inlineStr">
        <is>
          <t>Van</t>
        </is>
      </c>
      <c r="J838" t="inlineStr">
        <is>
          <t>Low</t>
        </is>
      </c>
      <c r="K838" t="inlineStr">
        <is>
          <t>Delivered</t>
        </is>
      </c>
      <c r="L838" t="n">
        <v>102.32</v>
      </c>
      <c r="M838" t="n">
        <v>1726</v>
      </c>
      <c r="N838" t="n">
        <v>13.3</v>
      </c>
      <c r="O838" t="n">
        <v>117.43</v>
      </c>
      <c r="P838" t="n">
        <v>1116.82</v>
      </c>
      <c r="Q838">
        <f>ROUND(L838*M838*N838/1000+O838+P838,2)</f>
        <v/>
      </c>
      <c r="R838" t="inlineStr">
        <is>
          <t>No</t>
        </is>
      </c>
      <c r="S838">
        <f>IF(OR(E838="",D838=""),"",MAX(0,E838-D838))</f>
        <v/>
      </c>
      <c r="T838" t="inlineStr">
        <is>
          <t>No</t>
        </is>
      </c>
      <c r="U838" t="n">
        <v>6</v>
      </c>
      <c r="V838" t="inlineStr">
        <is>
          <t>Failed</t>
        </is>
      </c>
      <c r="W838" t="n">
        <v>3</v>
      </c>
      <c r="X838" t="inlineStr">
        <is>
          <t>Weather</t>
        </is>
      </c>
    </row>
    <row r="839">
      <c r="A839" t="inlineStr">
        <is>
          <t>ORD-2026-00838</t>
        </is>
      </c>
      <c r="B839" t="inlineStr">
        <is>
          <t>CUST-0146</t>
        </is>
      </c>
      <c r="C839" s="3" t="n">
        <v>46161</v>
      </c>
      <c r="D839" s="3" t="n">
        <v>46163</v>
      </c>
      <c r="E839" s="3" t="n">
        <v>46163</v>
      </c>
      <c r="F839" t="inlineStr">
        <is>
          <t>Mumbai</t>
        </is>
      </c>
      <c r="G839" t="inlineStr">
        <is>
          <t>Ahmedabad</t>
        </is>
      </c>
      <c r="H839" t="inlineStr">
        <is>
          <t>Delhivery</t>
        </is>
      </c>
      <c r="I839" t="inlineStr">
        <is>
          <t>Truck</t>
        </is>
      </c>
      <c r="J839" t="inlineStr">
        <is>
          <t>Normal</t>
        </is>
      </c>
      <c r="K839" t="inlineStr">
        <is>
          <t>Delivered</t>
        </is>
      </c>
      <c r="L839" t="n">
        <v>1403.2</v>
      </c>
      <c r="M839" t="n">
        <v>1019</v>
      </c>
      <c r="N839" t="n">
        <v>12.67</v>
      </c>
      <c r="O839" t="n">
        <v>726.52</v>
      </c>
      <c r="P839" t="n">
        <v>979.76</v>
      </c>
      <c r="Q839">
        <f>ROUND(L839*M839*N839/1000+O839+P839,2)</f>
        <v/>
      </c>
      <c r="R839" t="inlineStr">
        <is>
          <t>Yes</t>
        </is>
      </c>
      <c r="S839">
        <f>IF(OR(E839="",D839=""),"",MAX(0,E839-D839))</f>
        <v/>
      </c>
      <c r="T839" t="inlineStr">
        <is>
          <t>Yes</t>
        </is>
      </c>
      <c r="U839" t="n">
        <v>66</v>
      </c>
      <c r="V839" t="inlineStr">
        <is>
          <t>Pending</t>
        </is>
      </c>
      <c r="W839" t="n">
        <v>4</v>
      </c>
      <c r="X839" t="inlineStr">
        <is>
          <t>None</t>
        </is>
      </c>
    </row>
    <row r="840">
      <c r="A840" t="inlineStr">
        <is>
          <t>ORD-2026-00839</t>
        </is>
      </c>
      <c r="B840" t="inlineStr">
        <is>
          <t>CUST-0171</t>
        </is>
      </c>
      <c r="C840" s="3" t="n">
        <v>46197</v>
      </c>
      <c r="D840" s="3" t="n">
        <v>46202</v>
      </c>
      <c r="E840" s="3" t="n">
        <v>46203</v>
      </c>
      <c r="F840" t="inlineStr">
        <is>
          <t>Chennai</t>
        </is>
      </c>
      <c r="G840" t="inlineStr">
        <is>
          <t>Bengaluru</t>
        </is>
      </c>
      <c r="H840" t="inlineStr">
        <is>
          <t>Aramex</t>
        </is>
      </c>
      <c r="I840" t="inlineStr">
        <is>
          <t>Bike</t>
        </is>
      </c>
      <c r="J840" t="inlineStr">
        <is>
          <t>High</t>
        </is>
      </c>
      <c r="K840" t="inlineStr">
        <is>
          <t>Delivered</t>
        </is>
      </c>
      <c r="L840" t="n">
        <v>2104.68</v>
      </c>
      <c r="M840" t="n">
        <v>2022</v>
      </c>
      <c r="N840" t="n">
        <v>39.21</v>
      </c>
      <c r="O840" t="n">
        <v>5600.36</v>
      </c>
      <c r="P840" t="n">
        <v>332.29</v>
      </c>
      <c r="Q840">
        <f>ROUND(L840*M840*N840/1000+O840+P840,2)</f>
        <v/>
      </c>
      <c r="R840" t="inlineStr">
        <is>
          <t>No</t>
        </is>
      </c>
      <c r="S840">
        <f>IF(OR(E840="",D840=""),"",MAX(0,E840-D840))</f>
        <v/>
      </c>
      <c r="T840" t="inlineStr">
        <is>
          <t>No</t>
        </is>
      </c>
      <c r="U840" t="n">
        <v>18</v>
      </c>
      <c r="V840" t="inlineStr">
        <is>
          <t>Failed</t>
        </is>
      </c>
      <c r="W840" t="n">
        <v>5</v>
      </c>
      <c r="X840" t="inlineStr">
        <is>
          <t>Weather</t>
        </is>
      </c>
    </row>
    <row r="841">
      <c r="A841" t="inlineStr">
        <is>
          <t>ORD-2026-00840</t>
        </is>
      </c>
      <c r="B841" t="inlineStr">
        <is>
          <t>CUST-0030</t>
        </is>
      </c>
      <c r="C841" s="3" t="n">
        <v>46171</v>
      </c>
      <c r="D841" s="3" t="n">
        <v>46176</v>
      </c>
      <c r="E841" s="3" t="n">
        <v>46176</v>
      </c>
      <c r="F841" t="inlineStr">
        <is>
          <t>Chennai</t>
        </is>
      </c>
      <c r="G841" t="inlineStr">
        <is>
          <t>Kolkata</t>
        </is>
      </c>
      <c r="H841" t="inlineStr">
        <is>
          <t>DHL</t>
        </is>
      </c>
      <c r="I841" t="inlineStr">
        <is>
          <t>Refrigerated Truck</t>
        </is>
      </c>
      <c r="J841" t="inlineStr">
        <is>
          <t>Normal</t>
        </is>
      </c>
      <c r="K841" t="inlineStr">
        <is>
          <t>Delivered</t>
        </is>
      </c>
      <c r="L841" t="n">
        <v>2223.97</v>
      </c>
      <c r="M841" t="n">
        <v>1726</v>
      </c>
      <c r="N841" t="n">
        <v>22.53</v>
      </c>
      <c r="O841" t="n">
        <v>5735.15</v>
      </c>
      <c r="P841" t="n">
        <v>22.15</v>
      </c>
      <c r="Q841">
        <f>ROUND(L841*M841*N841/1000+O841+P841,2)</f>
        <v/>
      </c>
      <c r="R841" t="inlineStr">
        <is>
          <t>Yes</t>
        </is>
      </c>
      <c r="S841">
        <f>IF(OR(E841="",D841=""),"",MAX(0,E841-D841))</f>
        <v/>
      </c>
      <c r="T841" t="inlineStr">
        <is>
          <t>Yes</t>
        </is>
      </c>
      <c r="U841" t="n">
        <v>75</v>
      </c>
      <c r="V841" t="inlineStr">
        <is>
          <t>Paid</t>
        </is>
      </c>
      <c r="W841" t="n">
        <v>2</v>
      </c>
      <c r="X841" t="inlineStr">
        <is>
          <t>Address Error</t>
        </is>
      </c>
    </row>
    <row r="842">
      <c r="A842" t="inlineStr">
        <is>
          <t>ORD-2026-00841</t>
        </is>
      </c>
      <c r="B842" t="inlineStr">
        <is>
          <t>CUST-0246</t>
        </is>
      </c>
      <c r="C842" s="3" t="n">
        <v>46205</v>
      </c>
      <c r="D842" s="3" t="n">
        <v>46206</v>
      </c>
      <c r="E842" s="3" t="n">
        <v>46206</v>
      </c>
      <c r="F842" t="inlineStr">
        <is>
          <t>Mumbai</t>
        </is>
      </c>
      <c r="G842" t="inlineStr">
        <is>
          <t>Kolkata</t>
        </is>
      </c>
      <c r="H842" t="inlineStr">
        <is>
          <t>BlueDart</t>
        </is>
      </c>
      <c r="I842" t="inlineStr">
        <is>
          <t>Truck</t>
        </is>
      </c>
      <c r="J842" t="inlineStr">
        <is>
          <t>Low</t>
        </is>
      </c>
      <c r="K842" t="inlineStr">
        <is>
          <t>Delivered</t>
        </is>
      </c>
      <c r="L842" t="n">
        <v>116.89</v>
      </c>
      <c r="M842" t="n">
        <v>300</v>
      </c>
      <c r="N842" t="n">
        <v>46.99</v>
      </c>
      <c r="O842" t="n">
        <v>62.58</v>
      </c>
      <c r="P842" t="n">
        <v>342.84</v>
      </c>
      <c r="Q842">
        <f>ROUND(L842*M842*N842/1000+O842+P842,2)</f>
        <v/>
      </c>
      <c r="R842" t="inlineStr">
        <is>
          <t>Yes</t>
        </is>
      </c>
      <c r="S842">
        <f>IF(OR(E842="",D842=""),"",MAX(0,E842-D842))</f>
        <v/>
      </c>
      <c r="T842" t="inlineStr">
        <is>
          <t>Yes</t>
        </is>
      </c>
      <c r="U842" t="n">
        <v>53</v>
      </c>
      <c r="V842" t="inlineStr">
        <is>
          <t>Paid</t>
        </is>
      </c>
      <c r="W842" t="n">
        <v>3</v>
      </c>
      <c r="X842" t="inlineStr">
        <is>
          <t>Address Error</t>
        </is>
      </c>
    </row>
    <row r="843">
      <c r="A843" t="inlineStr">
        <is>
          <t>ORD-2026-00842</t>
        </is>
      </c>
      <c r="B843" t="inlineStr">
        <is>
          <t>CUST-0175</t>
        </is>
      </c>
      <c r="C843" s="3" t="n">
        <v>46137</v>
      </c>
      <c r="D843" s="3" t="n">
        <v>46140</v>
      </c>
      <c r="E843" s="3" t="n">
        <v>46140</v>
      </c>
      <c r="F843" t="inlineStr">
        <is>
          <t>Pune</t>
        </is>
      </c>
      <c r="G843" t="inlineStr">
        <is>
          <t>Jaipur</t>
        </is>
      </c>
      <c r="H843" t="inlineStr">
        <is>
          <t>Maersk</t>
        </is>
      </c>
      <c r="I843" t="inlineStr">
        <is>
          <t>Truck</t>
        </is>
      </c>
      <c r="J843" t="inlineStr">
        <is>
          <t>Normal</t>
        </is>
      </c>
      <c r="K843" t="inlineStr">
        <is>
          <t>Delivered</t>
        </is>
      </c>
      <c r="L843" t="n">
        <v>308.55</v>
      </c>
      <c r="M843" t="n">
        <v>1515</v>
      </c>
      <c r="N843" t="n">
        <v>26.53</v>
      </c>
      <c r="O843" t="n">
        <v>677.96</v>
      </c>
      <c r="P843" t="n">
        <v>996.09</v>
      </c>
      <c r="Q843">
        <f>ROUND(L843*M843*N843/1000+O843+P843,2)</f>
        <v/>
      </c>
      <c r="R843" t="inlineStr">
        <is>
          <t>Yes</t>
        </is>
      </c>
      <c r="S843">
        <f>IF(OR(E843="",D843=""),"",MAX(0,E843-D843))</f>
        <v/>
      </c>
      <c r="T843" t="inlineStr">
        <is>
          <t>Yes</t>
        </is>
      </c>
      <c r="U843" t="n">
        <v>50</v>
      </c>
      <c r="V843" t="inlineStr">
        <is>
          <t>COD</t>
        </is>
      </c>
      <c r="W843" t="n">
        <v>2</v>
      </c>
      <c r="X843" t="inlineStr">
        <is>
          <t>Customer Unavailable</t>
        </is>
      </c>
    </row>
    <row r="844">
      <c r="A844" t="inlineStr">
        <is>
          <t>ORD-2026-00843</t>
        </is>
      </c>
      <c r="B844" t="inlineStr">
        <is>
          <t>CUST-0228</t>
        </is>
      </c>
      <c r="C844" s="3" t="n">
        <v>46193</v>
      </c>
      <c r="D844" s="3" t="n">
        <v>46197</v>
      </c>
      <c r="E844" s="3" t="n">
        <v>46197</v>
      </c>
      <c r="F844" t="inlineStr">
        <is>
          <t>Ahmedabad</t>
        </is>
      </c>
      <c r="G844" t="inlineStr">
        <is>
          <t>Jaipur</t>
        </is>
      </c>
      <c r="H844" t="inlineStr">
        <is>
          <t>DTDC</t>
        </is>
      </c>
      <c r="I844" t="inlineStr">
        <is>
          <t>Refrigerated Truck</t>
        </is>
      </c>
      <c r="J844" t="inlineStr">
        <is>
          <t>Normal</t>
        </is>
      </c>
      <c r="K844" t="inlineStr">
        <is>
          <t>Delivered</t>
        </is>
      </c>
      <c r="L844" t="n">
        <v>1093.91</v>
      </c>
      <c r="M844" t="n">
        <v>1037</v>
      </c>
      <c r="N844" t="n">
        <v>8.17</v>
      </c>
      <c r="O844" t="n">
        <v>535.8200000000001</v>
      </c>
      <c r="P844" t="n">
        <v>110.88</v>
      </c>
      <c r="Q844">
        <f>ROUND(L844*M844*N844/1000+O844+P844,2)</f>
        <v/>
      </c>
      <c r="R844" t="inlineStr">
        <is>
          <t>Yes</t>
        </is>
      </c>
      <c r="S844">
        <f>IF(OR(E844="",D844=""),"",MAX(0,E844-D844))</f>
        <v/>
      </c>
      <c r="T844" t="inlineStr">
        <is>
          <t>No</t>
        </is>
      </c>
      <c r="U844" t="n">
        <v>15</v>
      </c>
      <c r="V844" t="inlineStr">
        <is>
          <t>COD</t>
        </is>
      </c>
      <c r="W844" t="n">
        <v>2</v>
      </c>
      <c r="X844" t="inlineStr">
        <is>
          <t>Vehicle Breakdown</t>
        </is>
      </c>
    </row>
    <row r="845">
      <c r="A845" t="inlineStr">
        <is>
          <t>ORD-2026-00844</t>
        </is>
      </c>
      <c r="B845" t="inlineStr">
        <is>
          <t>CUST-0222</t>
        </is>
      </c>
      <c r="C845" s="3" t="n">
        <v>46094</v>
      </c>
      <c r="D845" s="3" t="n">
        <v>46097</v>
      </c>
      <c r="E845" s="3" t="n"/>
      <c r="F845" t="inlineStr">
        <is>
          <t>Pune</t>
        </is>
      </c>
      <c r="G845" t="inlineStr">
        <is>
          <t>Jaipur</t>
        </is>
      </c>
      <c r="H845" t="inlineStr">
        <is>
          <t>Delhivery</t>
        </is>
      </c>
      <c r="I845" t="inlineStr">
        <is>
          <t>Refrigerated Truck</t>
        </is>
      </c>
      <c r="J845" t="inlineStr">
        <is>
          <t>Normal</t>
        </is>
      </c>
      <c r="K845" t="inlineStr">
        <is>
          <t>In Transit</t>
        </is>
      </c>
      <c r="L845" t="n">
        <v>1466.42</v>
      </c>
      <c r="M845" t="n">
        <v>1429</v>
      </c>
      <c r="N845" t="n">
        <v>25.28</v>
      </c>
      <c r="O845" t="n">
        <v>2302.22</v>
      </c>
      <c r="P845" t="n">
        <v>317.37</v>
      </c>
      <c r="Q845">
        <f>ROUND(L845*M845*N845/1000+O845+P845,2)</f>
        <v/>
      </c>
      <c r="R845" t="inlineStr">
        <is>
          <t>No</t>
        </is>
      </c>
      <c r="S845">
        <f>IF(OR(E845="",D845=""),"",MAX(0,E845-D845))</f>
        <v/>
      </c>
      <c r="T845" t="inlineStr">
        <is>
          <t>No</t>
        </is>
      </c>
      <c r="U845" t="n">
        <v>29</v>
      </c>
      <c r="V845" t="inlineStr">
        <is>
          <t>Failed</t>
        </is>
      </c>
      <c r="W845" t="n">
        <v>2</v>
      </c>
      <c r="X845" t="inlineStr">
        <is>
          <t>None</t>
        </is>
      </c>
    </row>
    <row r="846">
      <c r="A846" t="inlineStr">
        <is>
          <t>ORD-2026-00845</t>
        </is>
      </c>
      <c r="B846" t="inlineStr">
        <is>
          <t>CUST-0185</t>
        </is>
      </c>
      <c r="C846" s="3" t="n">
        <v>46222</v>
      </c>
      <c r="D846" s="3" t="n">
        <v>46226</v>
      </c>
      <c r="E846" s="3" t="n">
        <v>46227</v>
      </c>
      <c r="F846" t="inlineStr">
        <is>
          <t>Hyderabad</t>
        </is>
      </c>
      <c r="G846" t="inlineStr">
        <is>
          <t>Surat</t>
        </is>
      </c>
      <c r="H846" t="inlineStr">
        <is>
          <t>FedEx</t>
        </is>
      </c>
      <c r="I846" t="inlineStr">
        <is>
          <t>Van</t>
        </is>
      </c>
      <c r="J846" t="inlineStr">
        <is>
          <t>High</t>
        </is>
      </c>
      <c r="K846" t="inlineStr">
        <is>
          <t>Delivered</t>
        </is>
      </c>
      <c r="L846" t="n">
        <v>2466.24</v>
      </c>
      <c r="M846" t="n">
        <v>2264</v>
      </c>
      <c r="N846" t="n">
        <v>37.05</v>
      </c>
      <c r="O846" t="n">
        <v>17798.9</v>
      </c>
      <c r="P846" t="n">
        <v>182.54</v>
      </c>
      <c r="Q846">
        <f>ROUND(L846*M846*N846/1000+O846+P846,2)</f>
        <v/>
      </c>
      <c r="R846" t="inlineStr">
        <is>
          <t>No</t>
        </is>
      </c>
      <c r="S846">
        <f>IF(OR(E846="",D846=""),"",MAX(0,E846-D846))</f>
        <v/>
      </c>
      <c r="T846" t="inlineStr">
        <is>
          <t>No</t>
        </is>
      </c>
      <c r="U846" t="n">
        <v>52</v>
      </c>
      <c r="V846" t="inlineStr">
        <is>
          <t>Paid</t>
        </is>
      </c>
      <c r="W846" t="n">
        <v>1</v>
      </c>
      <c r="X846" t="inlineStr">
        <is>
          <t>Customs</t>
        </is>
      </c>
    </row>
    <row r="847">
      <c r="A847" t="inlineStr">
        <is>
          <t>ORD-2026-00846</t>
        </is>
      </c>
      <c r="B847" t="inlineStr">
        <is>
          <t>CUST-0237</t>
        </is>
      </c>
      <c r="C847" s="3" t="n">
        <v>46050</v>
      </c>
      <c r="D847" s="3" t="n">
        <v>46054</v>
      </c>
      <c r="E847" s="3" t="n">
        <v>46057</v>
      </c>
      <c r="F847" t="inlineStr">
        <is>
          <t>Surat</t>
        </is>
      </c>
      <c r="G847" t="inlineStr">
        <is>
          <t>Delhi</t>
        </is>
      </c>
      <c r="H847" t="inlineStr">
        <is>
          <t>Maersk</t>
        </is>
      </c>
      <c r="I847" t="inlineStr">
        <is>
          <t>Container</t>
        </is>
      </c>
      <c r="J847" t="inlineStr">
        <is>
          <t>Low</t>
        </is>
      </c>
      <c r="K847" t="inlineStr">
        <is>
          <t>Delivered</t>
        </is>
      </c>
      <c r="L847" t="n">
        <v>611.11</v>
      </c>
      <c r="M847" t="n">
        <v>2742</v>
      </c>
      <c r="N847" t="n">
        <v>61.09</v>
      </c>
      <c r="O847" t="n">
        <v>8327.6</v>
      </c>
      <c r="P847" t="n">
        <v>870.13</v>
      </c>
      <c r="Q847">
        <f>ROUND(L847*M847*N847/1000+O847+P847,2)</f>
        <v/>
      </c>
      <c r="R847" t="inlineStr">
        <is>
          <t>No</t>
        </is>
      </c>
      <c r="S847">
        <f>IF(OR(E847="",D847=""),"",MAX(0,E847-D847))</f>
        <v/>
      </c>
      <c r="T847" t="inlineStr">
        <is>
          <t>Yes</t>
        </is>
      </c>
      <c r="U847" t="n">
        <v>3</v>
      </c>
      <c r="V847" t="inlineStr">
        <is>
          <t>COD</t>
        </is>
      </c>
      <c r="W847" t="n">
        <v>5</v>
      </c>
      <c r="X847" t="inlineStr">
        <is>
          <t>Weather</t>
        </is>
      </c>
    </row>
    <row r="848">
      <c r="A848" t="inlineStr">
        <is>
          <t>ORD-2026-00847</t>
        </is>
      </c>
      <c r="B848" t="inlineStr">
        <is>
          <t>CUST-0070</t>
        </is>
      </c>
      <c r="C848" s="3" t="n">
        <v>46168</v>
      </c>
      <c r="D848" s="3" t="n">
        <v>46174</v>
      </c>
      <c r="E848" s="3" t="n">
        <v>46174</v>
      </c>
      <c r="F848" t="inlineStr">
        <is>
          <t>Kolkata</t>
        </is>
      </c>
      <c r="G848" t="inlineStr">
        <is>
          <t>Bengaluru</t>
        </is>
      </c>
      <c r="H848" t="inlineStr">
        <is>
          <t>Maersk</t>
        </is>
      </c>
      <c r="I848" t="inlineStr">
        <is>
          <t>Container</t>
        </is>
      </c>
      <c r="J848" t="inlineStr">
        <is>
          <t>High</t>
        </is>
      </c>
      <c r="K848" t="inlineStr">
        <is>
          <t>Delivered</t>
        </is>
      </c>
      <c r="L848" t="n">
        <v>271.61</v>
      </c>
      <c r="M848" t="n">
        <v>1259</v>
      </c>
      <c r="N848" t="n">
        <v>49.09</v>
      </c>
      <c r="O848" t="n">
        <v>931.51</v>
      </c>
      <c r="P848" t="n">
        <v>1050.12</v>
      </c>
      <c r="Q848">
        <f>ROUND(L848*M848*N848/1000+O848+P848,2)</f>
        <v/>
      </c>
      <c r="R848" t="inlineStr">
        <is>
          <t>Yes</t>
        </is>
      </c>
      <c r="S848">
        <f>IF(OR(E848="",D848=""),"",MAX(0,E848-D848))</f>
        <v/>
      </c>
      <c r="T848" t="inlineStr">
        <is>
          <t>Yes</t>
        </is>
      </c>
      <c r="U848" t="n">
        <v>49</v>
      </c>
      <c r="V848" t="inlineStr">
        <is>
          <t>Failed</t>
        </is>
      </c>
      <c r="W848" t="n">
        <v>5</v>
      </c>
      <c r="X848" t="inlineStr">
        <is>
          <t>Address Error</t>
        </is>
      </c>
    </row>
    <row r="849">
      <c r="A849" t="inlineStr">
        <is>
          <t>ORD-2026-00848</t>
        </is>
      </c>
      <c r="B849" t="inlineStr">
        <is>
          <t>CUST-0144</t>
        </is>
      </c>
      <c r="C849" s="3" t="n">
        <v>46085</v>
      </c>
      <c r="D849" s="3" t="n">
        <v>46091</v>
      </c>
      <c r="E849" s="3" t="n">
        <v>46091</v>
      </c>
      <c r="F849" t="inlineStr">
        <is>
          <t>Ahmedabad</t>
        </is>
      </c>
      <c r="G849" t="inlineStr">
        <is>
          <t>Mumbai</t>
        </is>
      </c>
      <c r="H849" t="inlineStr">
        <is>
          <t>BlueDart</t>
        </is>
      </c>
      <c r="I849" t="inlineStr">
        <is>
          <t>Bike</t>
        </is>
      </c>
      <c r="J849" t="inlineStr">
        <is>
          <t>Normal</t>
        </is>
      </c>
      <c r="K849" t="inlineStr">
        <is>
          <t>Delivered</t>
        </is>
      </c>
      <c r="L849" t="n">
        <v>1178.72</v>
      </c>
      <c r="M849" t="n">
        <v>992</v>
      </c>
      <c r="N849" t="n">
        <v>38.35</v>
      </c>
      <c r="O849" t="n">
        <v>2672.11</v>
      </c>
      <c r="P849" t="n">
        <v>657.62</v>
      </c>
      <c r="Q849">
        <f>ROUND(L849*M849*N849/1000+O849+P849,2)</f>
        <v/>
      </c>
      <c r="R849" t="inlineStr">
        <is>
          <t>Yes</t>
        </is>
      </c>
      <c r="S849">
        <f>IF(OR(E849="",D849=""),"",MAX(0,E849-D849))</f>
        <v/>
      </c>
      <c r="T849" t="inlineStr">
        <is>
          <t>Yes</t>
        </is>
      </c>
      <c r="U849" t="n">
        <v>53</v>
      </c>
      <c r="V849" t="inlineStr">
        <is>
          <t>Paid</t>
        </is>
      </c>
      <c r="W849" t="n">
        <v>2</v>
      </c>
      <c r="X849" t="inlineStr">
        <is>
          <t>Weather</t>
        </is>
      </c>
    </row>
    <row r="850">
      <c r="A850" t="inlineStr">
        <is>
          <t>ORD-2026-00849</t>
        </is>
      </c>
      <c r="B850" t="inlineStr">
        <is>
          <t>CUST-0010</t>
        </is>
      </c>
      <c r="C850" s="3" t="n">
        <v>46128</v>
      </c>
      <c r="D850" s="3" t="n">
        <v>46130</v>
      </c>
      <c r="E850" s="3" t="n">
        <v>46130</v>
      </c>
      <c r="F850" t="inlineStr">
        <is>
          <t>Pune</t>
        </is>
      </c>
      <c r="G850" t="inlineStr">
        <is>
          <t>Ahmedabad</t>
        </is>
      </c>
      <c r="H850" t="inlineStr">
        <is>
          <t>DTDC</t>
        </is>
      </c>
      <c r="I850" t="inlineStr">
        <is>
          <t>Container</t>
        </is>
      </c>
      <c r="J850" t="inlineStr">
        <is>
          <t>Low</t>
        </is>
      </c>
      <c r="K850" t="inlineStr">
        <is>
          <t>Delivered</t>
        </is>
      </c>
      <c r="L850" t="n">
        <v>1371.65</v>
      </c>
      <c r="M850" t="n">
        <v>560</v>
      </c>
      <c r="N850" t="n">
        <v>20.58</v>
      </c>
      <c r="O850" t="n">
        <v>677.72</v>
      </c>
      <c r="P850" t="n">
        <v>568.9</v>
      </c>
      <c r="Q850">
        <f>ROUND(L850*M850*N850/1000+O850+P850,2)</f>
        <v/>
      </c>
      <c r="R850" t="inlineStr">
        <is>
          <t>Yes</t>
        </is>
      </c>
      <c r="S850">
        <f>IF(OR(E850="",D850=""),"",MAX(0,E850-D850))</f>
        <v/>
      </c>
      <c r="T850" t="inlineStr">
        <is>
          <t>No</t>
        </is>
      </c>
      <c r="U850" t="n">
        <v>76</v>
      </c>
      <c r="V850" t="inlineStr">
        <is>
          <t>Failed</t>
        </is>
      </c>
      <c r="W850" t="n">
        <v>2</v>
      </c>
      <c r="X850" t="inlineStr">
        <is>
          <t>None</t>
        </is>
      </c>
    </row>
    <row r="851">
      <c r="A851" t="inlineStr">
        <is>
          <t>ORD-2026-00850</t>
        </is>
      </c>
      <c r="B851" t="inlineStr">
        <is>
          <t>CUST-0012</t>
        </is>
      </c>
      <c r="C851" s="3" t="n">
        <v>46110</v>
      </c>
      <c r="D851" s="3" t="n">
        <v>46114</v>
      </c>
      <c r="E851" s="3" t="n">
        <v>46115</v>
      </c>
      <c r="F851" t="inlineStr">
        <is>
          <t>Jaipur</t>
        </is>
      </c>
      <c r="G851" t="inlineStr">
        <is>
          <t>Pune</t>
        </is>
      </c>
      <c r="H851" t="inlineStr">
        <is>
          <t>DTDC</t>
        </is>
      </c>
      <c r="I851" t="inlineStr">
        <is>
          <t>Truck</t>
        </is>
      </c>
      <c r="J851" t="inlineStr">
        <is>
          <t>Low</t>
        </is>
      </c>
      <c r="K851" t="inlineStr">
        <is>
          <t>Delivered</t>
        </is>
      </c>
      <c r="L851" t="n">
        <v>626.17</v>
      </c>
      <c r="M851" t="n">
        <v>2455</v>
      </c>
      <c r="N851" t="n">
        <v>38.6</v>
      </c>
      <c r="O851" t="n">
        <v>4019.92</v>
      </c>
      <c r="P851" t="n">
        <v>1146.15</v>
      </c>
      <c r="Q851">
        <f>ROUND(L851*M851*N851/1000+O851+P851,2)</f>
        <v/>
      </c>
      <c r="R851" t="inlineStr">
        <is>
          <t>No</t>
        </is>
      </c>
      <c r="S851">
        <f>IF(OR(E851="",D851=""),"",MAX(0,E851-D851))</f>
        <v/>
      </c>
      <c r="T851" t="inlineStr">
        <is>
          <t>No</t>
        </is>
      </c>
      <c r="U851" t="n">
        <v>28</v>
      </c>
      <c r="V851" t="inlineStr">
        <is>
          <t>Failed</t>
        </is>
      </c>
      <c r="W851" t="n">
        <v>3</v>
      </c>
      <c r="X851" t="inlineStr">
        <is>
          <t>None</t>
        </is>
      </c>
    </row>
    <row r="852">
      <c r="A852" t="inlineStr">
        <is>
          <t>ORD-2026-00851</t>
        </is>
      </c>
      <c r="B852" t="inlineStr">
        <is>
          <t>CUST-0043</t>
        </is>
      </c>
      <c r="C852" s="3" t="n">
        <v>46045</v>
      </c>
      <c r="D852" s="3" t="n">
        <v>46049</v>
      </c>
      <c r="E852" s="3" t="n">
        <v>46054</v>
      </c>
      <c r="F852" t="inlineStr">
        <is>
          <t>Ahmedabad</t>
        </is>
      </c>
      <c r="G852" t="inlineStr">
        <is>
          <t>Mumbai</t>
        </is>
      </c>
      <c r="H852" t="inlineStr">
        <is>
          <t>Maersk</t>
        </is>
      </c>
      <c r="I852" t="inlineStr">
        <is>
          <t>Bike</t>
        </is>
      </c>
      <c r="J852" t="inlineStr">
        <is>
          <t>Low</t>
        </is>
      </c>
      <c r="K852" t="inlineStr">
        <is>
          <t>Delivered</t>
        </is>
      </c>
      <c r="L852" t="n">
        <v>1068.05</v>
      </c>
      <c r="M852" t="n">
        <v>1434</v>
      </c>
      <c r="N852" t="n">
        <v>61.28</v>
      </c>
      <c r="O852" t="n">
        <v>7057.9</v>
      </c>
      <c r="P852" t="n">
        <v>843.3</v>
      </c>
      <c r="Q852">
        <f>ROUND(L852*M852*N852/1000+O852+P852,2)</f>
        <v/>
      </c>
      <c r="R852" t="inlineStr">
        <is>
          <t>No</t>
        </is>
      </c>
      <c r="S852">
        <f>IF(OR(E852="",D852=""),"",MAX(0,E852-D852))</f>
        <v/>
      </c>
      <c r="T852" t="inlineStr">
        <is>
          <t>No</t>
        </is>
      </c>
      <c r="U852" t="n">
        <v>25</v>
      </c>
      <c r="V852" t="inlineStr">
        <is>
          <t>Pending</t>
        </is>
      </c>
      <c r="W852" t="n">
        <v>2</v>
      </c>
      <c r="X852" t="inlineStr">
        <is>
          <t>Address Error</t>
        </is>
      </c>
    </row>
    <row r="853">
      <c r="A853" t="inlineStr">
        <is>
          <t>ORD-2026-00852</t>
        </is>
      </c>
      <c r="B853" t="inlineStr">
        <is>
          <t>CUST-0159</t>
        </is>
      </c>
      <c r="C853" s="3" t="n">
        <v>46211</v>
      </c>
      <c r="D853" s="3" t="n">
        <v>46212</v>
      </c>
      <c r="E853" s="3" t="n">
        <v>46214</v>
      </c>
      <c r="F853" t="inlineStr">
        <is>
          <t>Delhi</t>
        </is>
      </c>
      <c r="G853" t="inlineStr">
        <is>
          <t>Ahmedabad</t>
        </is>
      </c>
      <c r="H853" t="inlineStr">
        <is>
          <t>BlueDart</t>
        </is>
      </c>
      <c r="I853" t="inlineStr">
        <is>
          <t>Truck</t>
        </is>
      </c>
      <c r="J853" t="inlineStr">
        <is>
          <t>High</t>
        </is>
      </c>
      <c r="K853" t="inlineStr">
        <is>
          <t>Delivered</t>
        </is>
      </c>
      <c r="L853" t="n">
        <v>523.0700000000001</v>
      </c>
      <c r="M853" t="n">
        <v>548</v>
      </c>
      <c r="N853" t="n">
        <v>24.81</v>
      </c>
      <c r="O853" t="n">
        <v>239.49</v>
      </c>
      <c r="P853" t="n">
        <v>685.21</v>
      </c>
      <c r="Q853">
        <f>ROUND(L853*M853*N853/1000+O853+P853,2)</f>
        <v/>
      </c>
      <c r="R853" t="inlineStr">
        <is>
          <t>No</t>
        </is>
      </c>
      <c r="S853">
        <f>IF(OR(E853="",D853=""),"",MAX(0,E853-D853))</f>
        <v/>
      </c>
      <c r="T853" t="inlineStr">
        <is>
          <t>No</t>
        </is>
      </c>
      <c r="U853" t="n">
        <v>56</v>
      </c>
      <c r="V853" t="inlineStr">
        <is>
          <t>Pending</t>
        </is>
      </c>
      <c r="W853" t="n">
        <v>1</v>
      </c>
      <c r="X853" t="inlineStr">
        <is>
          <t>Customer Unavailable</t>
        </is>
      </c>
    </row>
    <row r="854">
      <c r="A854" t="inlineStr">
        <is>
          <t>ORD-2026-00853</t>
        </is>
      </c>
      <c r="B854" t="inlineStr">
        <is>
          <t>CUST-0196</t>
        </is>
      </c>
      <c r="C854" s="3" t="n">
        <v>46063</v>
      </c>
      <c r="D854" s="3" t="n">
        <v>46071</v>
      </c>
      <c r="E854" s="3" t="n">
        <v>46071</v>
      </c>
      <c r="F854" t="inlineStr">
        <is>
          <t>Delhi</t>
        </is>
      </c>
      <c r="G854" t="inlineStr">
        <is>
          <t>Bengaluru</t>
        </is>
      </c>
      <c r="H854" t="inlineStr">
        <is>
          <t>BlueDart</t>
        </is>
      </c>
      <c r="I854" t="inlineStr">
        <is>
          <t>Truck</t>
        </is>
      </c>
      <c r="J854" t="inlineStr">
        <is>
          <t>Critical</t>
        </is>
      </c>
      <c r="K854" t="inlineStr">
        <is>
          <t>Delivered</t>
        </is>
      </c>
      <c r="L854" t="n">
        <v>88.31</v>
      </c>
      <c r="M854" t="n">
        <v>722</v>
      </c>
      <c r="N854" t="n">
        <v>47.01</v>
      </c>
      <c r="O854" t="n">
        <v>250.5</v>
      </c>
      <c r="P854" t="n">
        <v>180.62</v>
      </c>
      <c r="Q854">
        <f>ROUND(L854*M854*N854/1000+O854+P854,2)</f>
        <v/>
      </c>
      <c r="R854" t="inlineStr">
        <is>
          <t>Yes</t>
        </is>
      </c>
      <c r="S854">
        <f>IF(OR(E854="",D854=""),"",MAX(0,E854-D854))</f>
        <v/>
      </c>
      <c r="T854" t="inlineStr">
        <is>
          <t>Yes</t>
        </is>
      </c>
      <c r="U854" t="n">
        <v>56</v>
      </c>
      <c r="V854" t="inlineStr">
        <is>
          <t>Pending</t>
        </is>
      </c>
      <c r="W854" t="n">
        <v>2</v>
      </c>
      <c r="X854" t="inlineStr">
        <is>
          <t>Vehicle Breakdown</t>
        </is>
      </c>
    </row>
    <row r="855">
      <c r="A855" t="inlineStr">
        <is>
          <t>ORD-2026-00854</t>
        </is>
      </c>
      <c r="B855" t="inlineStr">
        <is>
          <t>CUST-0045</t>
        </is>
      </c>
      <c r="C855" s="3" t="n">
        <v>46205</v>
      </c>
      <c r="D855" s="3" t="n">
        <v>46211</v>
      </c>
      <c r="E855" s="3" t="n">
        <v>46214</v>
      </c>
      <c r="F855" t="inlineStr">
        <is>
          <t>Kolkata</t>
        </is>
      </c>
      <c r="G855" t="inlineStr">
        <is>
          <t>Jaipur</t>
        </is>
      </c>
      <c r="H855" t="inlineStr">
        <is>
          <t>FedEx</t>
        </is>
      </c>
      <c r="I855" t="inlineStr">
        <is>
          <t>Refrigerated Truck</t>
        </is>
      </c>
      <c r="J855" t="inlineStr">
        <is>
          <t>High</t>
        </is>
      </c>
      <c r="K855" t="inlineStr">
        <is>
          <t>Delivered</t>
        </is>
      </c>
      <c r="L855" t="n">
        <v>2493.05</v>
      </c>
      <c r="M855" t="n">
        <v>2187</v>
      </c>
      <c r="N855" t="n">
        <v>45.65</v>
      </c>
      <c r="O855" t="n">
        <v>10686.48</v>
      </c>
      <c r="P855" t="n">
        <v>684.61</v>
      </c>
      <c r="Q855">
        <f>ROUND(L855*M855*N855/1000+O855+P855,2)</f>
        <v/>
      </c>
      <c r="R855" t="inlineStr">
        <is>
          <t>No</t>
        </is>
      </c>
      <c r="S855">
        <f>IF(OR(E855="",D855=""),"",MAX(0,E855-D855))</f>
        <v/>
      </c>
      <c r="T855" t="inlineStr">
        <is>
          <t>Yes</t>
        </is>
      </c>
      <c r="U855" t="n">
        <v>3</v>
      </c>
      <c r="V855" t="inlineStr">
        <is>
          <t>Pending</t>
        </is>
      </c>
      <c r="W855" t="n">
        <v>4</v>
      </c>
      <c r="X855" t="inlineStr">
        <is>
          <t>Vehicle Breakdown</t>
        </is>
      </c>
    </row>
    <row r="856">
      <c r="A856" t="inlineStr">
        <is>
          <t>ORD-2026-00855</t>
        </is>
      </c>
      <c r="B856" t="inlineStr">
        <is>
          <t>CUST-0244</t>
        </is>
      </c>
      <c r="C856" s="3" t="n">
        <v>46119</v>
      </c>
      <c r="D856" s="3" t="n">
        <v>46127</v>
      </c>
      <c r="E856" s="3" t="n">
        <v>46132</v>
      </c>
      <c r="F856" t="inlineStr">
        <is>
          <t>Mumbai</t>
        </is>
      </c>
      <c r="G856" t="inlineStr">
        <is>
          <t>Surat</t>
        </is>
      </c>
      <c r="H856" t="inlineStr">
        <is>
          <t>Delhivery</t>
        </is>
      </c>
      <c r="I856" t="inlineStr">
        <is>
          <t>Container</t>
        </is>
      </c>
      <c r="J856" t="inlineStr">
        <is>
          <t>Normal</t>
        </is>
      </c>
      <c r="K856" t="inlineStr">
        <is>
          <t>Delivered</t>
        </is>
      </c>
      <c r="L856" t="n">
        <v>288.81</v>
      </c>
      <c r="M856" t="n">
        <v>524</v>
      </c>
      <c r="N856" t="n">
        <v>59.35</v>
      </c>
      <c r="O856" t="n">
        <v>393.26</v>
      </c>
      <c r="P856" t="n">
        <v>1056.4</v>
      </c>
      <c r="Q856">
        <f>ROUND(L856*M856*N856/1000+O856+P856,2)</f>
        <v/>
      </c>
      <c r="R856" t="inlineStr">
        <is>
          <t>No</t>
        </is>
      </c>
      <c r="S856">
        <f>IF(OR(E856="",D856=""),"",MAX(0,E856-D856))</f>
        <v/>
      </c>
      <c r="T856" t="inlineStr">
        <is>
          <t>Yes</t>
        </is>
      </c>
      <c r="U856" t="n">
        <v>67</v>
      </c>
      <c r="V856" t="inlineStr">
        <is>
          <t>Pending</t>
        </is>
      </c>
      <c r="W856" t="n">
        <v>5</v>
      </c>
      <c r="X856" t="inlineStr">
        <is>
          <t>Address Error</t>
        </is>
      </c>
    </row>
    <row r="857">
      <c r="A857" t="inlineStr">
        <is>
          <t>ORD-2026-00856</t>
        </is>
      </c>
      <c r="B857" t="inlineStr">
        <is>
          <t>CUST-0067</t>
        </is>
      </c>
      <c r="C857" s="3" t="n">
        <v>46227</v>
      </c>
      <c r="D857" s="3" t="n">
        <v>46230</v>
      </c>
      <c r="E857" s="3" t="n"/>
      <c r="F857" t="inlineStr">
        <is>
          <t>Hyderabad</t>
        </is>
      </c>
      <c r="G857" t="inlineStr">
        <is>
          <t>Surat</t>
        </is>
      </c>
      <c r="H857" t="inlineStr">
        <is>
          <t>DHL</t>
        </is>
      </c>
      <c r="I857" t="inlineStr">
        <is>
          <t>Truck</t>
        </is>
      </c>
      <c r="J857" t="inlineStr">
        <is>
          <t>Low</t>
        </is>
      </c>
      <c r="K857" t="inlineStr">
        <is>
          <t>In Transit</t>
        </is>
      </c>
      <c r="L857" t="n">
        <v>604.12</v>
      </c>
      <c r="M857" t="n">
        <v>2267</v>
      </c>
      <c r="N857" t="n">
        <v>12.76</v>
      </c>
      <c r="O857" t="n">
        <v>1074.81</v>
      </c>
      <c r="P857" t="n">
        <v>158.43</v>
      </c>
      <c r="Q857">
        <f>ROUND(L857*M857*N857/1000+O857+P857,2)</f>
        <v/>
      </c>
      <c r="R857" t="inlineStr">
        <is>
          <t>No</t>
        </is>
      </c>
      <c r="S857">
        <f>IF(OR(E857="",D857=""),"",MAX(0,E857-D857))</f>
        <v/>
      </c>
      <c r="T857" t="inlineStr">
        <is>
          <t>No</t>
        </is>
      </c>
      <c r="U857" t="n">
        <v>63</v>
      </c>
      <c r="V857" t="inlineStr">
        <is>
          <t>Pending</t>
        </is>
      </c>
      <c r="W857" t="n">
        <v>2</v>
      </c>
      <c r="X857" t="inlineStr">
        <is>
          <t>Customer Unavailable</t>
        </is>
      </c>
    </row>
    <row r="858">
      <c r="A858" t="inlineStr">
        <is>
          <t>ORD-2026-00857</t>
        </is>
      </c>
      <c r="B858" t="inlineStr">
        <is>
          <t>CUST-0189</t>
        </is>
      </c>
      <c r="C858" s="3" t="n">
        <v>46225</v>
      </c>
      <c r="D858" s="3" t="n">
        <v>46229</v>
      </c>
      <c r="E858" s="3" t="n">
        <v>46230</v>
      </c>
      <c r="F858" t="inlineStr">
        <is>
          <t>Hyderabad</t>
        </is>
      </c>
      <c r="G858" t="inlineStr">
        <is>
          <t>Jaipur</t>
        </is>
      </c>
      <c r="H858" t="inlineStr">
        <is>
          <t>DHL</t>
        </is>
      </c>
      <c r="I858" t="inlineStr">
        <is>
          <t>Refrigerated Truck</t>
        </is>
      </c>
      <c r="J858" t="inlineStr">
        <is>
          <t>High</t>
        </is>
      </c>
      <c r="K858" t="inlineStr">
        <is>
          <t>Delivered</t>
        </is>
      </c>
      <c r="L858" t="n">
        <v>369.98</v>
      </c>
      <c r="M858" t="n">
        <v>1816</v>
      </c>
      <c r="N858" t="n">
        <v>12.07</v>
      </c>
      <c r="O858" t="n">
        <v>594.0700000000001</v>
      </c>
      <c r="P858" t="n">
        <v>829.15</v>
      </c>
      <c r="Q858">
        <f>ROUND(L858*M858*N858/1000+O858+P858,2)</f>
        <v/>
      </c>
      <c r="R858" t="inlineStr">
        <is>
          <t>No</t>
        </is>
      </c>
      <c r="S858">
        <f>IF(OR(E858="",D858=""),"",MAX(0,E858-D858))</f>
        <v/>
      </c>
      <c r="T858" t="inlineStr">
        <is>
          <t>Yes</t>
        </is>
      </c>
      <c r="U858" t="n">
        <v>5</v>
      </c>
      <c r="V858" t="inlineStr">
        <is>
          <t>Paid</t>
        </is>
      </c>
      <c r="W858" t="n">
        <v>1</v>
      </c>
      <c r="X858" t="inlineStr">
        <is>
          <t>Customer Unavailable</t>
        </is>
      </c>
    </row>
    <row r="859">
      <c r="A859" t="inlineStr">
        <is>
          <t>ORD-2026-00858</t>
        </is>
      </c>
      <c r="B859" t="inlineStr">
        <is>
          <t>CUST-0022</t>
        </is>
      </c>
      <c r="C859" s="3" t="n">
        <v>46193</v>
      </c>
      <c r="D859" s="3" t="n">
        <v>46194</v>
      </c>
      <c r="E859" s="3" t="n">
        <v>46197</v>
      </c>
      <c r="F859" t="inlineStr">
        <is>
          <t>Bengaluru</t>
        </is>
      </c>
      <c r="G859" t="inlineStr">
        <is>
          <t>Jaipur</t>
        </is>
      </c>
      <c r="H859" t="inlineStr">
        <is>
          <t>Aramex</t>
        </is>
      </c>
      <c r="I859" t="inlineStr">
        <is>
          <t>Van</t>
        </is>
      </c>
      <c r="J859" t="inlineStr">
        <is>
          <t>Critical</t>
        </is>
      </c>
      <c r="K859" t="inlineStr">
        <is>
          <t>Delivered</t>
        </is>
      </c>
      <c r="L859" t="n">
        <v>209.54</v>
      </c>
      <c r="M859" t="n">
        <v>680</v>
      </c>
      <c r="N859" t="n">
        <v>51.18</v>
      </c>
      <c r="O859" t="n">
        <v>572.3</v>
      </c>
      <c r="P859" t="n">
        <v>887.04</v>
      </c>
      <c r="Q859">
        <f>ROUND(L859*M859*N859/1000+O859+P859,2)</f>
        <v/>
      </c>
      <c r="R859" t="inlineStr">
        <is>
          <t>No</t>
        </is>
      </c>
      <c r="S859">
        <f>IF(OR(E859="",D859=""),"",MAX(0,E859-D859))</f>
        <v/>
      </c>
      <c r="T859" t="inlineStr">
        <is>
          <t>No</t>
        </is>
      </c>
      <c r="U859" t="n">
        <v>8</v>
      </c>
      <c r="V859" t="inlineStr">
        <is>
          <t>Paid</t>
        </is>
      </c>
      <c r="W859" t="n">
        <v>2</v>
      </c>
      <c r="X859" t="inlineStr">
        <is>
          <t>Vehicle Breakdown</t>
        </is>
      </c>
    </row>
    <row r="860">
      <c r="A860" t="inlineStr">
        <is>
          <t>ORD-2026-00859</t>
        </is>
      </c>
      <c r="B860" t="inlineStr">
        <is>
          <t>CUST-0209</t>
        </is>
      </c>
      <c r="C860" s="3" t="n">
        <v>46103</v>
      </c>
      <c r="D860" s="3" t="n">
        <v>46110</v>
      </c>
      <c r="E860" s="3" t="n">
        <v>46111</v>
      </c>
      <c r="F860" t="inlineStr">
        <is>
          <t>Delhi</t>
        </is>
      </c>
      <c r="G860" t="inlineStr">
        <is>
          <t>Kolkata</t>
        </is>
      </c>
      <c r="H860" t="inlineStr">
        <is>
          <t>Maersk</t>
        </is>
      </c>
      <c r="I860" t="inlineStr">
        <is>
          <t>Bike</t>
        </is>
      </c>
      <c r="J860" t="inlineStr">
        <is>
          <t>Critical</t>
        </is>
      </c>
      <c r="K860" t="inlineStr">
        <is>
          <t>Delivered</t>
        </is>
      </c>
      <c r="L860" t="n">
        <v>1260.3</v>
      </c>
      <c r="M860" t="n">
        <v>1192</v>
      </c>
      <c r="N860" t="n">
        <v>50.89</v>
      </c>
      <c r="O860" t="n">
        <v>3489.85</v>
      </c>
      <c r="P860" t="n">
        <v>145.86</v>
      </c>
      <c r="Q860">
        <f>ROUND(L860*M860*N860/1000+O860+P860,2)</f>
        <v/>
      </c>
      <c r="R860" t="inlineStr">
        <is>
          <t>No</t>
        </is>
      </c>
      <c r="S860">
        <f>IF(OR(E860="",D860=""),"",MAX(0,E860-D860))</f>
        <v/>
      </c>
      <c r="T860" t="inlineStr">
        <is>
          <t>No</t>
        </is>
      </c>
      <c r="U860" t="n">
        <v>63</v>
      </c>
      <c r="V860" t="inlineStr">
        <is>
          <t>Paid</t>
        </is>
      </c>
      <c r="W860" t="n">
        <v>2</v>
      </c>
      <c r="X860" t="inlineStr">
        <is>
          <t>Address Error</t>
        </is>
      </c>
    </row>
    <row r="861">
      <c r="A861" t="inlineStr">
        <is>
          <t>ORD-2026-00860</t>
        </is>
      </c>
      <c r="B861" t="inlineStr">
        <is>
          <t>CUST-0154</t>
        </is>
      </c>
      <c r="C861" s="3" t="n">
        <v>46234</v>
      </c>
      <c r="D861" s="3" t="n">
        <v>46239</v>
      </c>
      <c r="E861" s="3" t="n">
        <v>46239</v>
      </c>
      <c r="F861" t="inlineStr">
        <is>
          <t>Ahmedabad</t>
        </is>
      </c>
      <c r="G861" t="inlineStr">
        <is>
          <t>Ahmedabad</t>
        </is>
      </c>
      <c r="H861" t="inlineStr">
        <is>
          <t>Maersk</t>
        </is>
      </c>
      <c r="I861" t="inlineStr">
        <is>
          <t>Refrigerated Truck</t>
        </is>
      </c>
      <c r="J861" t="inlineStr">
        <is>
          <t>Normal</t>
        </is>
      </c>
      <c r="K861" t="inlineStr">
        <is>
          <t>Delivered</t>
        </is>
      </c>
      <c r="L861" t="n">
        <v>785.63</v>
      </c>
      <c r="M861" t="n">
        <v>1925</v>
      </c>
      <c r="N861" t="n">
        <v>10.3</v>
      </c>
      <c r="O861" t="n">
        <v>873.58</v>
      </c>
      <c r="P861" t="n">
        <v>58.85</v>
      </c>
      <c r="Q861">
        <f>ROUND(L861*M861*N861/1000+O861+P861,2)</f>
        <v/>
      </c>
      <c r="R861" t="inlineStr">
        <is>
          <t>Yes</t>
        </is>
      </c>
      <c r="S861">
        <f>IF(OR(E861="",D861=""),"",MAX(0,E861-D861))</f>
        <v/>
      </c>
      <c r="T861" t="inlineStr">
        <is>
          <t>No</t>
        </is>
      </c>
      <c r="U861" t="n">
        <v>45</v>
      </c>
      <c r="V861" t="inlineStr">
        <is>
          <t>COD</t>
        </is>
      </c>
      <c r="W861" t="n">
        <v>1</v>
      </c>
      <c r="X861" t="inlineStr">
        <is>
          <t>Vehicle Breakdown</t>
        </is>
      </c>
    </row>
    <row r="862">
      <c r="A862" t="inlineStr">
        <is>
          <t>ORD-2026-00861</t>
        </is>
      </c>
      <c r="B862" t="inlineStr">
        <is>
          <t>CUST-0083</t>
        </is>
      </c>
      <c r="C862" s="3" t="n">
        <v>46208</v>
      </c>
      <c r="D862" s="3" t="n">
        <v>46213</v>
      </c>
      <c r="E862" s="3" t="n">
        <v>46213</v>
      </c>
      <c r="F862" t="inlineStr">
        <is>
          <t>Hyderabad</t>
        </is>
      </c>
      <c r="G862" t="inlineStr">
        <is>
          <t>Ahmedabad</t>
        </is>
      </c>
      <c r="H862" t="inlineStr">
        <is>
          <t>FedEx</t>
        </is>
      </c>
      <c r="I862" t="inlineStr">
        <is>
          <t>Refrigerated Truck</t>
        </is>
      </c>
      <c r="J862" t="inlineStr">
        <is>
          <t>Normal</t>
        </is>
      </c>
      <c r="K862" t="inlineStr">
        <is>
          <t>Delivered</t>
        </is>
      </c>
      <c r="L862" t="n">
        <v>1407.72</v>
      </c>
      <c r="M862" t="n">
        <v>970</v>
      </c>
      <c r="N862" t="n">
        <v>31.54</v>
      </c>
      <c r="O862" t="n">
        <v>3353.32</v>
      </c>
      <c r="P862" t="n">
        <v>777.29</v>
      </c>
      <c r="Q862">
        <f>ROUND(L862*M862*N862/1000+O862+P862,2)</f>
        <v/>
      </c>
      <c r="R862" t="inlineStr">
        <is>
          <t>Yes</t>
        </is>
      </c>
      <c r="S862">
        <f>IF(OR(E862="",D862=""),"",MAX(0,E862-D862))</f>
        <v/>
      </c>
      <c r="T862" t="inlineStr">
        <is>
          <t>No</t>
        </is>
      </c>
      <c r="U862" t="n">
        <v>6</v>
      </c>
      <c r="V862" t="inlineStr">
        <is>
          <t>Paid</t>
        </is>
      </c>
      <c r="W862" t="n">
        <v>4</v>
      </c>
      <c r="X862" t="inlineStr">
        <is>
          <t>None</t>
        </is>
      </c>
    </row>
    <row r="863">
      <c r="A863" t="inlineStr">
        <is>
          <t>ORD-2026-00862</t>
        </is>
      </c>
      <c r="B863" t="inlineStr">
        <is>
          <t>CUST-0160</t>
        </is>
      </c>
      <c r="C863" s="3" t="n">
        <v>46127</v>
      </c>
      <c r="D863" s="3" t="n">
        <v>46131</v>
      </c>
      <c r="E863" s="3" t="n">
        <v>46131</v>
      </c>
      <c r="F863" t="inlineStr">
        <is>
          <t>Surat</t>
        </is>
      </c>
      <c r="G863" t="inlineStr">
        <is>
          <t>Delhi</t>
        </is>
      </c>
      <c r="H863" t="inlineStr">
        <is>
          <t>DHL</t>
        </is>
      </c>
      <c r="I863" t="inlineStr">
        <is>
          <t>Van</t>
        </is>
      </c>
      <c r="J863" t="inlineStr">
        <is>
          <t>Low</t>
        </is>
      </c>
      <c r="K863" t="inlineStr">
        <is>
          <t>Delivered</t>
        </is>
      </c>
      <c r="L863" t="n">
        <v>1535.71</v>
      </c>
      <c r="M863" t="n">
        <v>1889</v>
      </c>
      <c r="N863" t="n">
        <v>43.23</v>
      </c>
      <c r="O863" t="n">
        <v>9680.440000000001</v>
      </c>
      <c r="P863" t="n">
        <v>45.15</v>
      </c>
      <c r="Q863">
        <f>ROUND(L863*M863*N863/1000+O863+P863,2)</f>
        <v/>
      </c>
      <c r="R863" t="inlineStr">
        <is>
          <t>Yes</t>
        </is>
      </c>
      <c r="S863">
        <f>IF(OR(E863="",D863=""),"",MAX(0,E863-D863))</f>
        <v/>
      </c>
      <c r="T863" t="inlineStr">
        <is>
          <t>No</t>
        </is>
      </c>
      <c r="U863" t="n">
        <v>7</v>
      </c>
      <c r="V863" t="inlineStr">
        <is>
          <t>Paid</t>
        </is>
      </c>
      <c r="W863" t="n">
        <v>4</v>
      </c>
      <c r="X863" t="inlineStr">
        <is>
          <t>Vehicle Breakdown</t>
        </is>
      </c>
    </row>
    <row r="864">
      <c r="A864" t="inlineStr">
        <is>
          <t>ORD-2026-00863</t>
        </is>
      </c>
      <c r="B864" t="inlineStr">
        <is>
          <t>CUST-0046</t>
        </is>
      </c>
      <c r="C864" s="3" t="n">
        <v>46236</v>
      </c>
      <c r="D864" s="3" t="n">
        <v>46238</v>
      </c>
      <c r="E864" s="3" t="n">
        <v>46241</v>
      </c>
      <c r="F864" t="inlineStr">
        <is>
          <t>Surat</t>
        </is>
      </c>
      <c r="G864" t="inlineStr">
        <is>
          <t>Jaipur</t>
        </is>
      </c>
      <c r="H864" t="inlineStr">
        <is>
          <t>Delhivery</t>
        </is>
      </c>
      <c r="I864" t="inlineStr">
        <is>
          <t>Truck</t>
        </is>
      </c>
      <c r="J864" t="inlineStr">
        <is>
          <t>Normal</t>
        </is>
      </c>
      <c r="K864" t="inlineStr">
        <is>
          <t>Delivered</t>
        </is>
      </c>
      <c r="L864" t="n">
        <v>1846.4</v>
      </c>
      <c r="M864" t="n">
        <v>1076</v>
      </c>
      <c r="N864" t="n">
        <v>43.66</v>
      </c>
      <c r="O864" t="n">
        <v>3948.4</v>
      </c>
      <c r="P864" t="n">
        <v>1288.28</v>
      </c>
      <c r="Q864">
        <f>ROUND(L864*M864*N864/1000+O864+P864,2)</f>
        <v/>
      </c>
      <c r="R864" t="inlineStr">
        <is>
          <t>No</t>
        </is>
      </c>
      <c r="S864">
        <f>IF(OR(E864="",D864=""),"",MAX(0,E864-D864))</f>
        <v/>
      </c>
      <c r="T864" t="inlineStr">
        <is>
          <t>No</t>
        </is>
      </c>
      <c r="U864" t="n">
        <v>25</v>
      </c>
      <c r="V864" t="inlineStr">
        <is>
          <t>Paid</t>
        </is>
      </c>
      <c r="W864" t="n">
        <v>4</v>
      </c>
      <c r="X864" t="inlineStr">
        <is>
          <t>Vehicle Breakdown</t>
        </is>
      </c>
    </row>
    <row r="865">
      <c r="A865" t="inlineStr">
        <is>
          <t>ORD-2026-00864</t>
        </is>
      </c>
      <c r="B865" t="inlineStr">
        <is>
          <t>CUST-0172</t>
        </is>
      </c>
      <c r="C865" s="3" t="n">
        <v>46085</v>
      </c>
      <c r="D865" s="3" t="n">
        <v>46088</v>
      </c>
      <c r="E865" s="3" t="n">
        <v>46089</v>
      </c>
      <c r="F865" t="inlineStr">
        <is>
          <t>Pune</t>
        </is>
      </c>
      <c r="G865" t="inlineStr">
        <is>
          <t>Chennai</t>
        </is>
      </c>
      <c r="H865" t="inlineStr">
        <is>
          <t>FedEx</t>
        </is>
      </c>
      <c r="I865" t="inlineStr">
        <is>
          <t>Truck</t>
        </is>
      </c>
      <c r="J865" t="inlineStr">
        <is>
          <t>Low</t>
        </is>
      </c>
      <c r="K865" t="inlineStr">
        <is>
          <t>Delivered</t>
        </is>
      </c>
      <c r="L865" t="n">
        <v>1000.51</v>
      </c>
      <c r="M865" t="n">
        <v>2781</v>
      </c>
      <c r="N865" t="n">
        <v>24.82</v>
      </c>
      <c r="O865" t="n">
        <v>2779.81</v>
      </c>
      <c r="P865" t="n">
        <v>865.7</v>
      </c>
      <c r="Q865">
        <f>ROUND(L865*M865*N865/1000+O865+P865,2)</f>
        <v/>
      </c>
      <c r="R865" t="inlineStr">
        <is>
          <t>No</t>
        </is>
      </c>
      <c r="S865">
        <f>IF(OR(E865="",D865=""),"",MAX(0,E865-D865))</f>
        <v/>
      </c>
      <c r="T865" t="inlineStr">
        <is>
          <t>Yes</t>
        </is>
      </c>
      <c r="U865" t="n">
        <v>54</v>
      </c>
      <c r="V865" t="inlineStr">
        <is>
          <t>Pending</t>
        </is>
      </c>
      <c r="W865" t="n">
        <v>3</v>
      </c>
      <c r="X865" t="inlineStr">
        <is>
          <t>Damaged Package</t>
        </is>
      </c>
    </row>
    <row r="866">
      <c r="A866" t="inlineStr">
        <is>
          <t>ORD-2026-00865</t>
        </is>
      </c>
      <c r="B866" t="inlineStr">
        <is>
          <t>CUST-0243</t>
        </is>
      </c>
      <c r="C866" s="3" t="n">
        <v>46208</v>
      </c>
      <c r="D866" s="3" t="n">
        <v>46215</v>
      </c>
      <c r="E866" s="3" t="n">
        <v>46215</v>
      </c>
      <c r="F866" t="inlineStr">
        <is>
          <t>Chennai</t>
        </is>
      </c>
      <c r="G866" t="inlineStr">
        <is>
          <t>Delhi</t>
        </is>
      </c>
      <c r="H866" t="inlineStr">
        <is>
          <t>FedEx</t>
        </is>
      </c>
      <c r="I866" t="inlineStr">
        <is>
          <t>Refrigerated Truck</t>
        </is>
      </c>
      <c r="J866" t="inlineStr">
        <is>
          <t>High</t>
        </is>
      </c>
      <c r="K866" t="inlineStr">
        <is>
          <t>Delivered</t>
        </is>
      </c>
      <c r="L866" t="n">
        <v>1945.85</v>
      </c>
      <c r="M866" t="n">
        <v>341</v>
      </c>
      <c r="N866" t="n">
        <v>34.33</v>
      </c>
      <c r="O866" t="n">
        <v>739.11</v>
      </c>
      <c r="P866" t="n">
        <v>597.47</v>
      </c>
      <c r="Q866">
        <f>ROUND(L866*M866*N866/1000+O866+P866,2)</f>
        <v/>
      </c>
      <c r="R866" t="inlineStr">
        <is>
          <t>Yes</t>
        </is>
      </c>
      <c r="S866">
        <f>IF(OR(E866="",D866=""),"",MAX(0,E866-D866))</f>
        <v/>
      </c>
      <c r="T866" t="inlineStr">
        <is>
          <t>Yes</t>
        </is>
      </c>
      <c r="U866" t="n">
        <v>24</v>
      </c>
      <c r="V866" t="inlineStr">
        <is>
          <t>Failed</t>
        </is>
      </c>
      <c r="W866" t="n">
        <v>2</v>
      </c>
      <c r="X866" t="inlineStr">
        <is>
          <t>Damaged Package</t>
        </is>
      </c>
    </row>
    <row r="867">
      <c r="A867" t="inlineStr">
        <is>
          <t>ORD-2026-00866</t>
        </is>
      </c>
      <c r="B867" t="inlineStr">
        <is>
          <t>CUST-0203</t>
        </is>
      </c>
      <c r="C867" s="3" t="n">
        <v>46195</v>
      </c>
      <c r="D867" s="3" t="n">
        <v>46201</v>
      </c>
      <c r="E867" s="3" t="n">
        <v>46201</v>
      </c>
      <c r="F867" t="inlineStr">
        <is>
          <t>Pune</t>
        </is>
      </c>
      <c r="G867" t="inlineStr">
        <is>
          <t>Pune</t>
        </is>
      </c>
      <c r="H867" t="inlineStr">
        <is>
          <t>DTDC</t>
        </is>
      </c>
      <c r="I867" t="inlineStr">
        <is>
          <t>Bike</t>
        </is>
      </c>
      <c r="J867" t="inlineStr">
        <is>
          <t>Low</t>
        </is>
      </c>
      <c r="K867" t="inlineStr">
        <is>
          <t>Delivered</t>
        </is>
      </c>
      <c r="L867" t="n">
        <v>734.9400000000001</v>
      </c>
      <c r="M867" t="n">
        <v>100</v>
      </c>
      <c r="N867" t="n">
        <v>46.11</v>
      </c>
      <c r="O867" t="n">
        <v>197.19</v>
      </c>
      <c r="P867" t="n">
        <v>475.44</v>
      </c>
      <c r="Q867">
        <f>ROUND(L867*M867*N867/1000+O867+P867,2)</f>
        <v/>
      </c>
      <c r="R867" t="inlineStr">
        <is>
          <t>Yes</t>
        </is>
      </c>
      <c r="S867">
        <f>IF(OR(E867="",D867=""),"",MAX(0,E867-D867))</f>
        <v/>
      </c>
      <c r="T867" t="inlineStr">
        <is>
          <t>Yes</t>
        </is>
      </c>
      <c r="U867" t="n">
        <v>14</v>
      </c>
      <c r="V867" t="inlineStr">
        <is>
          <t>COD</t>
        </is>
      </c>
      <c r="W867" t="n">
        <v>2</v>
      </c>
      <c r="X867" t="inlineStr">
        <is>
          <t>Customs</t>
        </is>
      </c>
    </row>
    <row r="868">
      <c r="A868" t="inlineStr">
        <is>
          <t>ORD-2026-00867</t>
        </is>
      </c>
      <c r="B868" t="inlineStr">
        <is>
          <t>CUST-0177</t>
        </is>
      </c>
      <c r="C868" s="3" t="n">
        <v>46201</v>
      </c>
      <c r="D868" s="3" t="n">
        <v>46204</v>
      </c>
      <c r="E868" s="3" t="n">
        <v>46207</v>
      </c>
      <c r="F868" t="inlineStr">
        <is>
          <t>Hyderabad</t>
        </is>
      </c>
      <c r="G868" t="inlineStr">
        <is>
          <t>Ahmedabad</t>
        </is>
      </c>
      <c r="H868" t="inlineStr">
        <is>
          <t>FedEx</t>
        </is>
      </c>
      <c r="I868" t="inlineStr">
        <is>
          <t>Van</t>
        </is>
      </c>
      <c r="J868" t="inlineStr">
        <is>
          <t>High</t>
        </is>
      </c>
      <c r="K868" t="inlineStr">
        <is>
          <t>Delivered</t>
        </is>
      </c>
      <c r="L868" t="n">
        <v>1813.87</v>
      </c>
      <c r="M868" t="n">
        <v>554</v>
      </c>
      <c r="N868" t="n">
        <v>34.54</v>
      </c>
      <c r="O868" t="n">
        <v>2773.41</v>
      </c>
      <c r="P868" t="n">
        <v>111.06</v>
      </c>
      <c r="Q868">
        <f>ROUND(L868*M868*N868/1000+O868+P868,2)</f>
        <v/>
      </c>
      <c r="R868" t="inlineStr">
        <is>
          <t>No</t>
        </is>
      </c>
      <c r="S868">
        <f>IF(OR(E868="",D868=""),"",MAX(0,E868-D868))</f>
        <v/>
      </c>
      <c r="T868" t="inlineStr">
        <is>
          <t>Yes</t>
        </is>
      </c>
      <c r="U868" t="n">
        <v>27</v>
      </c>
      <c r="V868" t="inlineStr">
        <is>
          <t>Pending</t>
        </is>
      </c>
      <c r="W868" t="n">
        <v>2</v>
      </c>
      <c r="X868" t="inlineStr">
        <is>
          <t>Customer Unavailable</t>
        </is>
      </c>
    </row>
    <row r="869">
      <c r="A869" t="inlineStr">
        <is>
          <t>ORD-2026-00868</t>
        </is>
      </c>
      <c r="B869" t="inlineStr">
        <is>
          <t>CUST-0027</t>
        </is>
      </c>
      <c r="C869" s="3" t="n">
        <v>46233</v>
      </c>
      <c r="D869" s="3" t="n">
        <v>46239</v>
      </c>
      <c r="E869" s="3" t="n">
        <v>46239</v>
      </c>
      <c r="F869" t="inlineStr">
        <is>
          <t>Mumbai</t>
        </is>
      </c>
      <c r="G869" t="inlineStr">
        <is>
          <t>Mumbai</t>
        </is>
      </c>
      <c r="H869" t="inlineStr">
        <is>
          <t>Maersk</t>
        </is>
      </c>
      <c r="I869" t="inlineStr">
        <is>
          <t>Bike</t>
        </is>
      </c>
      <c r="J869" t="inlineStr">
        <is>
          <t>Critical</t>
        </is>
      </c>
      <c r="K869" t="inlineStr">
        <is>
          <t>Delivered</t>
        </is>
      </c>
      <c r="L869" t="n">
        <v>1468.01</v>
      </c>
      <c r="M869" t="n">
        <v>505</v>
      </c>
      <c r="N869" t="n">
        <v>30.5</v>
      </c>
      <c r="O869" t="n">
        <v>979.35</v>
      </c>
      <c r="P869" t="n">
        <v>229.3</v>
      </c>
      <c r="Q869">
        <f>ROUND(L869*M869*N869/1000+O869+P869,2)</f>
        <v/>
      </c>
      <c r="R869" t="inlineStr">
        <is>
          <t>Yes</t>
        </is>
      </c>
      <c r="S869">
        <f>IF(OR(E869="",D869=""),"",MAX(0,E869-D869))</f>
        <v/>
      </c>
      <c r="T869" t="inlineStr">
        <is>
          <t>No</t>
        </is>
      </c>
      <c r="U869" t="n">
        <v>16</v>
      </c>
      <c r="V869" t="inlineStr">
        <is>
          <t>Paid</t>
        </is>
      </c>
      <c r="W869" t="n">
        <v>5</v>
      </c>
      <c r="X869" t="inlineStr">
        <is>
          <t>Address Error</t>
        </is>
      </c>
    </row>
    <row r="870">
      <c r="A870" t="inlineStr">
        <is>
          <t>ORD-2026-00869</t>
        </is>
      </c>
      <c r="B870" t="inlineStr">
        <is>
          <t>CUST-0105</t>
        </is>
      </c>
      <c r="C870" s="3" t="n">
        <v>46084</v>
      </c>
      <c r="D870" s="3" t="n">
        <v>46086</v>
      </c>
      <c r="E870" s="3" t="n">
        <v>46087</v>
      </c>
      <c r="F870" t="inlineStr">
        <is>
          <t>Ahmedabad</t>
        </is>
      </c>
      <c r="G870" t="inlineStr">
        <is>
          <t>Mumbai</t>
        </is>
      </c>
      <c r="H870" t="inlineStr">
        <is>
          <t>BlueDart</t>
        </is>
      </c>
      <c r="I870" t="inlineStr">
        <is>
          <t>Bike</t>
        </is>
      </c>
      <c r="J870" t="inlineStr">
        <is>
          <t>Critical</t>
        </is>
      </c>
      <c r="K870" t="inlineStr">
        <is>
          <t>Delivered</t>
        </is>
      </c>
      <c r="L870" t="n">
        <v>542.35</v>
      </c>
      <c r="M870" t="n">
        <v>1663</v>
      </c>
      <c r="N870" t="n">
        <v>44.71</v>
      </c>
      <c r="O870" t="n">
        <v>3627.92</v>
      </c>
      <c r="P870" t="n">
        <v>78.03</v>
      </c>
      <c r="Q870">
        <f>ROUND(L870*M870*N870/1000+O870+P870,2)</f>
        <v/>
      </c>
      <c r="R870" t="inlineStr">
        <is>
          <t>No</t>
        </is>
      </c>
      <c r="S870">
        <f>IF(OR(E870="",D870=""),"",MAX(0,E870-D870))</f>
        <v/>
      </c>
      <c r="T870" t="inlineStr">
        <is>
          <t>No</t>
        </is>
      </c>
      <c r="U870" t="n">
        <v>50</v>
      </c>
      <c r="V870" t="inlineStr">
        <is>
          <t>Paid</t>
        </is>
      </c>
      <c r="W870" t="n">
        <v>4</v>
      </c>
      <c r="X870" t="inlineStr">
        <is>
          <t>Customs</t>
        </is>
      </c>
    </row>
    <row r="871">
      <c r="A871" t="inlineStr">
        <is>
          <t>ORD-2026-00870</t>
        </is>
      </c>
      <c r="B871" t="inlineStr">
        <is>
          <t>CUST-0208</t>
        </is>
      </c>
      <c r="C871" s="3" t="n">
        <v>46242</v>
      </c>
      <c r="D871" s="3" t="n">
        <v>46249</v>
      </c>
      <c r="E871" s="3" t="n">
        <v>46251</v>
      </c>
      <c r="F871" t="inlineStr">
        <is>
          <t>Ahmedabad</t>
        </is>
      </c>
      <c r="G871" t="inlineStr">
        <is>
          <t>Kolkata</t>
        </is>
      </c>
      <c r="H871" t="inlineStr">
        <is>
          <t>BlueDart</t>
        </is>
      </c>
      <c r="I871" t="inlineStr">
        <is>
          <t>Refrigerated Truck</t>
        </is>
      </c>
      <c r="J871" t="inlineStr">
        <is>
          <t>Critical</t>
        </is>
      </c>
      <c r="K871" t="inlineStr">
        <is>
          <t>Delivered</t>
        </is>
      </c>
      <c r="L871" t="n">
        <v>1311.42</v>
      </c>
      <c r="M871" t="n">
        <v>39</v>
      </c>
      <c r="N871" t="n">
        <v>8.609999999999999</v>
      </c>
      <c r="O871" t="n">
        <v>18.09</v>
      </c>
      <c r="P871" t="n">
        <v>1234.12</v>
      </c>
      <c r="Q871">
        <f>ROUND(L871*M871*N871/1000+O871+P871,2)</f>
        <v/>
      </c>
      <c r="R871" t="inlineStr">
        <is>
          <t>No</t>
        </is>
      </c>
      <c r="S871">
        <f>IF(OR(E871="",D871=""),"",MAX(0,E871-D871))</f>
        <v/>
      </c>
      <c r="T871" t="inlineStr">
        <is>
          <t>Yes</t>
        </is>
      </c>
      <c r="U871" t="n">
        <v>71</v>
      </c>
      <c r="V871" t="inlineStr">
        <is>
          <t>Pending</t>
        </is>
      </c>
      <c r="W871" t="n">
        <v>5</v>
      </c>
      <c r="X871" t="inlineStr">
        <is>
          <t>Customs</t>
        </is>
      </c>
    </row>
    <row r="872">
      <c r="A872" t="inlineStr">
        <is>
          <t>ORD-2026-00871</t>
        </is>
      </c>
      <c r="B872" t="inlineStr">
        <is>
          <t>CUST-0031</t>
        </is>
      </c>
      <c r="C872" s="3" t="n">
        <v>46026</v>
      </c>
      <c r="D872" s="3" t="n">
        <v>46030</v>
      </c>
      <c r="E872" s="3" t="n">
        <v>46031</v>
      </c>
      <c r="F872" t="inlineStr">
        <is>
          <t>Chennai</t>
        </is>
      </c>
      <c r="G872" t="inlineStr">
        <is>
          <t>Ahmedabad</t>
        </is>
      </c>
      <c r="H872" t="inlineStr">
        <is>
          <t>DTDC</t>
        </is>
      </c>
      <c r="I872" t="inlineStr">
        <is>
          <t>Truck</t>
        </is>
      </c>
      <c r="J872" t="inlineStr">
        <is>
          <t>Critical</t>
        </is>
      </c>
      <c r="K872" t="inlineStr">
        <is>
          <t>Delivered</t>
        </is>
      </c>
      <c r="L872" t="n">
        <v>1592.27</v>
      </c>
      <c r="M872" t="n">
        <v>2042</v>
      </c>
      <c r="N872" t="n">
        <v>23.04</v>
      </c>
      <c r="O872" t="n">
        <v>3522.31</v>
      </c>
      <c r="P872" t="n">
        <v>1468.92</v>
      </c>
      <c r="Q872">
        <f>ROUND(L872*M872*N872/1000+O872+P872,2)</f>
        <v/>
      </c>
      <c r="R872" t="inlineStr">
        <is>
          <t>No</t>
        </is>
      </c>
      <c r="S872">
        <f>IF(OR(E872="",D872=""),"",MAX(0,E872-D872))</f>
        <v/>
      </c>
      <c r="T872" t="inlineStr">
        <is>
          <t>No</t>
        </is>
      </c>
      <c r="U872" t="n">
        <v>79</v>
      </c>
      <c r="V872" t="inlineStr">
        <is>
          <t>COD</t>
        </is>
      </c>
      <c r="W872" t="n">
        <v>2</v>
      </c>
      <c r="X872" t="inlineStr">
        <is>
          <t>None</t>
        </is>
      </c>
    </row>
    <row r="873">
      <c r="A873" t="inlineStr">
        <is>
          <t>ORD-2026-00872</t>
        </is>
      </c>
      <c r="B873" t="inlineStr">
        <is>
          <t>CUST-0058</t>
        </is>
      </c>
      <c r="C873" s="3" t="n">
        <v>46042</v>
      </c>
      <c r="D873" s="3" t="n">
        <v>46047</v>
      </c>
      <c r="E873" s="3" t="n">
        <v>46048</v>
      </c>
      <c r="F873" t="inlineStr">
        <is>
          <t>Bengaluru</t>
        </is>
      </c>
      <c r="G873" t="inlineStr">
        <is>
          <t>Chennai</t>
        </is>
      </c>
      <c r="H873" t="inlineStr">
        <is>
          <t>DTDC</t>
        </is>
      </c>
      <c r="I873" t="inlineStr">
        <is>
          <t>Container</t>
        </is>
      </c>
      <c r="J873" t="inlineStr">
        <is>
          <t>High</t>
        </is>
      </c>
      <c r="K873" t="inlineStr">
        <is>
          <t>Delivered</t>
        </is>
      </c>
      <c r="L873" t="n">
        <v>2177.17</v>
      </c>
      <c r="M873" t="n">
        <v>2623</v>
      </c>
      <c r="N873" t="n">
        <v>52</v>
      </c>
      <c r="O873" t="n">
        <v>14019.4</v>
      </c>
      <c r="P873" t="n">
        <v>818.0599999999999</v>
      </c>
      <c r="Q873">
        <f>ROUND(L873*M873*N873/1000+O873+P873,2)</f>
        <v/>
      </c>
      <c r="R873" t="inlineStr">
        <is>
          <t>No</t>
        </is>
      </c>
      <c r="S873">
        <f>IF(OR(E873="",D873=""),"",MAX(0,E873-D873))</f>
        <v/>
      </c>
      <c r="T873" t="inlineStr">
        <is>
          <t>Yes</t>
        </is>
      </c>
      <c r="U873" t="n">
        <v>76</v>
      </c>
      <c r="V873" t="inlineStr">
        <is>
          <t>Pending</t>
        </is>
      </c>
      <c r="W873" t="n">
        <v>4</v>
      </c>
      <c r="X873" t="inlineStr">
        <is>
          <t>Address Error</t>
        </is>
      </c>
    </row>
    <row r="874">
      <c r="A874" t="inlineStr">
        <is>
          <t>ORD-2026-00873</t>
        </is>
      </c>
      <c r="B874" t="inlineStr">
        <is>
          <t>CUST-0020</t>
        </is>
      </c>
      <c r="C874" s="3" t="n">
        <v>46066</v>
      </c>
      <c r="D874" s="3" t="n">
        <v>46069</v>
      </c>
      <c r="E874" s="3" t="n">
        <v>46074</v>
      </c>
      <c r="F874" t="inlineStr">
        <is>
          <t>Mumbai</t>
        </is>
      </c>
      <c r="G874" t="inlineStr">
        <is>
          <t>Pune</t>
        </is>
      </c>
      <c r="H874" t="inlineStr">
        <is>
          <t>BlueDart</t>
        </is>
      </c>
      <c r="I874" t="inlineStr">
        <is>
          <t>Refrigerated Truck</t>
        </is>
      </c>
      <c r="J874" t="inlineStr">
        <is>
          <t>Normal</t>
        </is>
      </c>
      <c r="K874" t="inlineStr">
        <is>
          <t>Delivered</t>
        </is>
      </c>
      <c r="L874" t="n">
        <v>1264.88</v>
      </c>
      <c r="M874" t="n">
        <v>306</v>
      </c>
      <c r="N874" t="n">
        <v>21.69</v>
      </c>
      <c r="O874" t="n">
        <v>390.39</v>
      </c>
      <c r="P874" t="n">
        <v>519.79</v>
      </c>
      <c r="Q874">
        <f>ROUND(L874*M874*N874/1000+O874+P874,2)</f>
        <v/>
      </c>
      <c r="R874" t="inlineStr">
        <is>
          <t>No</t>
        </is>
      </c>
      <c r="S874">
        <f>IF(OR(E874="",D874=""),"",MAX(0,E874-D874))</f>
        <v/>
      </c>
      <c r="T874" t="inlineStr">
        <is>
          <t>No</t>
        </is>
      </c>
      <c r="U874" t="n">
        <v>6</v>
      </c>
      <c r="V874" t="inlineStr">
        <is>
          <t>COD</t>
        </is>
      </c>
      <c r="W874" t="n">
        <v>1</v>
      </c>
      <c r="X874" t="inlineStr">
        <is>
          <t>Customer Unavailable</t>
        </is>
      </c>
    </row>
    <row r="875">
      <c r="A875" t="inlineStr">
        <is>
          <t>ORD-2026-00874</t>
        </is>
      </c>
      <c r="B875" t="inlineStr">
        <is>
          <t>CUST-0110</t>
        </is>
      </c>
      <c r="C875" s="3" t="n">
        <v>46225</v>
      </c>
      <c r="D875" s="3" t="n">
        <v>46231</v>
      </c>
      <c r="E875" s="3" t="n">
        <v>46231</v>
      </c>
      <c r="F875" t="inlineStr">
        <is>
          <t>Ahmedabad</t>
        </is>
      </c>
      <c r="G875" t="inlineStr">
        <is>
          <t>Ahmedabad</t>
        </is>
      </c>
      <c r="H875" t="inlineStr">
        <is>
          <t>DHL</t>
        </is>
      </c>
      <c r="I875" t="inlineStr">
        <is>
          <t>Van</t>
        </is>
      </c>
      <c r="J875" t="inlineStr">
        <is>
          <t>Normal</t>
        </is>
      </c>
      <c r="K875" t="inlineStr">
        <is>
          <t>Delivered</t>
        </is>
      </c>
      <c r="L875" t="n">
        <v>1071.96</v>
      </c>
      <c r="M875" t="n">
        <v>194</v>
      </c>
      <c r="N875" t="n">
        <v>37.6</v>
      </c>
      <c r="O875" t="n">
        <v>279.61</v>
      </c>
      <c r="P875" t="n">
        <v>1124.59</v>
      </c>
      <c r="Q875">
        <f>ROUND(L875*M875*N875/1000+O875+P875,2)</f>
        <v/>
      </c>
      <c r="R875" t="inlineStr">
        <is>
          <t>Yes</t>
        </is>
      </c>
      <c r="S875">
        <f>IF(OR(E875="",D875=""),"",MAX(0,E875-D875))</f>
        <v/>
      </c>
      <c r="T875" t="inlineStr">
        <is>
          <t>No</t>
        </is>
      </c>
      <c r="U875" t="n">
        <v>50</v>
      </c>
      <c r="V875" t="inlineStr">
        <is>
          <t>Failed</t>
        </is>
      </c>
      <c r="W875" t="n">
        <v>5</v>
      </c>
      <c r="X875" t="inlineStr">
        <is>
          <t>None</t>
        </is>
      </c>
    </row>
    <row r="876">
      <c r="A876" t="inlineStr">
        <is>
          <t>ORD-2026-00875</t>
        </is>
      </c>
      <c r="B876" t="inlineStr">
        <is>
          <t>CUST-0230</t>
        </is>
      </c>
      <c r="C876" s="3" t="n">
        <v>46232</v>
      </c>
      <c r="D876" s="3" t="n">
        <v>46233</v>
      </c>
      <c r="E876" s="3" t="n">
        <v>46233</v>
      </c>
      <c r="F876" t="inlineStr">
        <is>
          <t>Hyderabad</t>
        </is>
      </c>
      <c r="G876" t="inlineStr">
        <is>
          <t>Hyderabad</t>
        </is>
      </c>
      <c r="H876" t="inlineStr">
        <is>
          <t>BlueDart</t>
        </is>
      </c>
      <c r="I876" t="inlineStr">
        <is>
          <t>Container</t>
        </is>
      </c>
      <c r="J876" t="inlineStr">
        <is>
          <t>Normal</t>
        </is>
      </c>
      <c r="K876" t="inlineStr">
        <is>
          <t>Delivered</t>
        </is>
      </c>
      <c r="L876" t="n">
        <v>182.16</v>
      </c>
      <c r="M876" t="n">
        <v>876</v>
      </c>
      <c r="N876" t="n">
        <v>13.7</v>
      </c>
      <c r="O876" t="n">
        <v>88.61</v>
      </c>
      <c r="P876" t="n">
        <v>343.53</v>
      </c>
      <c r="Q876">
        <f>ROUND(L876*M876*N876/1000+O876+P876,2)</f>
        <v/>
      </c>
      <c r="R876" t="inlineStr">
        <is>
          <t>Yes</t>
        </is>
      </c>
      <c r="S876">
        <f>IF(OR(E876="",D876=""),"",MAX(0,E876-D876))</f>
        <v/>
      </c>
      <c r="T876" t="inlineStr">
        <is>
          <t>No</t>
        </is>
      </c>
      <c r="U876" t="n">
        <v>74</v>
      </c>
      <c r="V876" t="inlineStr">
        <is>
          <t>Paid</t>
        </is>
      </c>
      <c r="W876" t="n">
        <v>4</v>
      </c>
      <c r="X876" t="inlineStr">
        <is>
          <t>Damaged Package</t>
        </is>
      </c>
    </row>
    <row r="877">
      <c r="A877" t="inlineStr">
        <is>
          <t>ORD-2026-00876</t>
        </is>
      </c>
      <c r="B877" t="inlineStr">
        <is>
          <t>CUST-0192</t>
        </is>
      </c>
      <c r="C877" s="3" t="n">
        <v>46239</v>
      </c>
      <c r="D877" s="3" t="n">
        <v>46247</v>
      </c>
      <c r="E877" s="3" t="n">
        <v>46247</v>
      </c>
      <c r="F877" t="inlineStr">
        <is>
          <t>Ahmedabad</t>
        </is>
      </c>
      <c r="G877" t="inlineStr">
        <is>
          <t>Mumbai</t>
        </is>
      </c>
      <c r="H877" t="inlineStr">
        <is>
          <t>DHL</t>
        </is>
      </c>
      <c r="I877" t="inlineStr">
        <is>
          <t>Refrigerated Truck</t>
        </is>
      </c>
      <c r="J877" t="inlineStr">
        <is>
          <t>Low</t>
        </is>
      </c>
      <c r="K877" t="inlineStr">
        <is>
          <t>Delivered</t>
        </is>
      </c>
      <c r="L877" t="n">
        <v>2256.09</v>
      </c>
      <c r="M877" t="n">
        <v>2549</v>
      </c>
      <c r="N877" t="n">
        <v>20.02</v>
      </c>
      <c r="O877" t="n">
        <v>7077.02</v>
      </c>
      <c r="P877" t="n">
        <v>410.4</v>
      </c>
      <c r="Q877">
        <f>ROUND(L877*M877*N877/1000+O877+P877,2)</f>
        <v/>
      </c>
      <c r="R877" t="inlineStr">
        <is>
          <t>Yes</t>
        </is>
      </c>
      <c r="S877">
        <f>IF(OR(E877="",D877=""),"",MAX(0,E877-D877))</f>
        <v/>
      </c>
      <c r="T877" t="inlineStr">
        <is>
          <t>No</t>
        </is>
      </c>
      <c r="U877" t="n">
        <v>25</v>
      </c>
      <c r="V877" t="inlineStr">
        <is>
          <t>COD</t>
        </is>
      </c>
      <c r="W877" t="n">
        <v>3</v>
      </c>
      <c r="X877" t="inlineStr">
        <is>
          <t>Address Error</t>
        </is>
      </c>
    </row>
    <row r="878">
      <c r="A878" t="inlineStr">
        <is>
          <t>ORD-2026-00877</t>
        </is>
      </c>
      <c r="B878" t="inlineStr">
        <is>
          <t>CUST-0116</t>
        </is>
      </c>
      <c r="C878" s="3" t="n">
        <v>46145</v>
      </c>
      <c r="D878" s="3" t="n">
        <v>46148</v>
      </c>
      <c r="E878" s="3" t="n">
        <v>46148</v>
      </c>
      <c r="F878" t="inlineStr">
        <is>
          <t>Ahmedabad</t>
        </is>
      </c>
      <c r="G878" t="inlineStr">
        <is>
          <t>Kolkata</t>
        </is>
      </c>
      <c r="H878" t="inlineStr">
        <is>
          <t>Aramex</t>
        </is>
      </c>
      <c r="I878" t="inlineStr">
        <is>
          <t>Van</t>
        </is>
      </c>
      <c r="J878" t="inlineStr">
        <is>
          <t>High</t>
        </is>
      </c>
      <c r="K878" t="inlineStr">
        <is>
          <t>Delivered</t>
        </is>
      </c>
      <c r="L878" t="n">
        <v>1613.02</v>
      </c>
      <c r="M878" t="n">
        <v>2522</v>
      </c>
      <c r="N878" t="n">
        <v>49.26</v>
      </c>
      <c r="O878" t="n">
        <v>6653.8</v>
      </c>
      <c r="P878" t="n">
        <v>1007.2</v>
      </c>
      <c r="Q878">
        <f>ROUND(L878*M878*N878/1000+O878+P878,2)</f>
        <v/>
      </c>
      <c r="R878" t="inlineStr">
        <is>
          <t>Yes</t>
        </is>
      </c>
      <c r="S878">
        <f>IF(OR(E878="",D878=""),"",MAX(0,E878-D878))</f>
        <v/>
      </c>
      <c r="T878" t="inlineStr">
        <is>
          <t>Yes</t>
        </is>
      </c>
      <c r="U878" t="n">
        <v>38</v>
      </c>
      <c r="V878" t="inlineStr">
        <is>
          <t>COD</t>
        </is>
      </c>
      <c r="W878" t="n">
        <v>5</v>
      </c>
      <c r="X878" t="inlineStr">
        <is>
          <t>Address Error</t>
        </is>
      </c>
    </row>
    <row r="879">
      <c r="A879" t="inlineStr">
        <is>
          <t>ORD-2026-00878</t>
        </is>
      </c>
      <c r="B879" t="inlineStr">
        <is>
          <t>CUST-0197</t>
        </is>
      </c>
      <c r="C879" s="3" t="n">
        <v>46027</v>
      </c>
      <c r="D879" s="3" t="n">
        <v>46035</v>
      </c>
      <c r="E879" s="3" t="n">
        <v>46045</v>
      </c>
      <c r="F879" t="inlineStr">
        <is>
          <t>Kolkata</t>
        </is>
      </c>
      <c r="G879" t="inlineStr">
        <is>
          <t>Kolkata</t>
        </is>
      </c>
      <c r="H879" t="inlineStr">
        <is>
          <t>Aramex</t>
        </is>
      </c>
      <c r="I879" t="inlineStr">
        <is>
          <t>Container</t>
        </is>
      </c>
      <c r="J879" t="inlineStr">
        <is>
          <t>High</t>
        </is>
      </c>
      <c r="K879" t="inlineStr">
        <is>
          <t>Delivered</t>
        </is>
      </c>
      <c r="L879" t="n">
        <v>414.42</v>
      </c>
      <c r="M879" t="n">
        <v>2453</v>
      </c>
      <c r="N879" t="n">
        <v>48.25</v>
      </c>
      <c r="O879" t="n">
        <v>3307.25</v>
      </c>
      <c r="P879" t="n">
        <v>946.42</v>
      </c>
      <c r="Q879">
        <f>ROUND(L879*M879*N879/1000+O879+P879,2)</f>
        <v/>
      </c>
      <c r="R879" t="inlineStr">
        <is>
          <t>No</t>
        </is>
      </c>
      <c r="S879">
        <f>IF(OR(E879="",D879=""),"",MAX(0,E879-D879))</f>
        <v/>
      </c>
      <c r="T879" t="inlineStr">
        <is>
          <t>No</t>
        </is>
      </c>
      <c r="U879" t="n">
        <v>12</v>
      </c>
      <c r="V879" t="inlineStr">
        <is>
          <t>COD</t>
        </is>
      </c>
      <c r="W879" t="n">
        <v>2</v>
      </c>
      <c r="X879" t="inlineStr">
        <is>
          <t>Customs</t>
        </is>
      </c>
    </row>
    <row r="880">
      <c r="A880" t="inlineStr">
        <is>
          <t>ORD-2026-00879</t>
        </is>
      </c>
      <c r="B880" t="inlineStr">
        <is>
          <t>CUST-0129</t>
        </is>
      </c>
      <c r="C880" s="3" t="n">
        <v>46223</v>
      </c>
      <c r="D880" s="3" t="n">
        <v>46229</v>
      </c>
      <c r="E880" s="3" t="n">
        <v>46230</v>
      </c>
      <c r="F880" t="inlineStr">
        <is>
          <t>Pune</t>
        </is>
      </c>
      <c r="G880" t="inlineStr">
        <is>
          <t>Kolkata</t>
        </is>
      </c>
      <c r="H880" t="inlineStr">
        <is>
          <t>DTDC</t>
        </is>
      </c>
      <c r="I880" t="inlineStr">
        <is>
          <t>Truck</t>
        </is>
      </c>
      <c r="J880" t="inlineStr">
        <is>
          <t>Normal</t>
        </is>
      </c>
      <c r="K880" t="inlineStr">
        <is>
          <t>Delivered</t>
        </is>
      </c>
      <c r="L880" t="n">
        <v>1422.12</v>
      </c>
      <c r="M880" t="n">
        <v>606</v>
      </c>
      <c r="N880" t="n">
        <v>26.83</v>
      </c>
      <c r="O880" t="n">
        <v>836.48</v>
      </c>
      <c r="P880" t="n">
        <v>51.48</v>
      </c>
      <c r="Q880">
        <f>ROUND(L880*M880*N880/1000+O880+P880,2)</f>
        <v/>
      </c>
      <c r="R880" t="inlineStr">
        <is>
          <t>No</t>
        </is>
      </c>
      <c r="S880">
        <f>IF(OR(E880="",D880=""),"",MAX(0,E880-D880))</f>
        <v/>
      </c>
      <c r="T880" t="inlineStr">
        <is>
          <t>Yes</t>
        </is>
      </c>
      <c r="U880" t="n">
        <v>14</v>
      </c>
      <c r="V880" t="inlineStr">
        <is>
          <t>Pending</t>
        </is>
      </c>
      <c r="W880" t="n">
        <v>2</v>
      </c>
      <c r="X880" t="inlineStr">
        <is>
          <t>Vehicle Breakdown</t>
        </is>
      </c>
    </row>
    <row r="881">
      <c r="A881" t="inlineStr">
        <is>
          <t>ORD-2026-00880</t>
        </is>
      </c>
      <c r="B881" t="inlineStr">
        <is>
          <t>CUST-0122</t>
        </is>
      </c>
      <c r="C881" s="3" t="n">
        <v>46222</v>
      </c>
      <c r="D881" s="3" t="n">
        <v>46225</v>
      </c>
      <c r="E881" s="3" t="n">
        <v>46227</v>
      </c>
      <c r="F881" t="inlineStr">
        <is>
          <t>Delhi</t>
        </is>
      </c>
      <c r="G881" t="inlineStr">
        <is>
          <t>Chennai</t>
        </is>
      </c>
      <c r="H881" t="inlineStr">
        <is>
          <t>Maersk</t>
        </is>
      </c>
      <c r="I881" t="inlineStr">
        <is>
          <t>Van</t>
        </is>
      </c>
      <c r="J881" t="inlineStr">
        <is>
          <t>Critical</t>
        </is>
      </c>
      <c r="K881" t="inlineStr">
        <is>
          <t>Delivered</t>
        </is>
      </c>
      <c r="L881" t="n">
        <v>1410.01</v>
      </c>
      <c r="M881" t="n">
        <v>229</v>
      </c>
      <c r="N881" t="n">
        <v>31.25</v>
      </c>
      <c r="O881" t="n">
        <v>726.3099999999999</v>
      </c>
      <c r="P881" t="n">
        <v>1485.23</v>
      </c>
      <c r="Q881">
        <f>ROUND(L881*M881*N881/1000+O881+P881,2)</f>
        <v/>
      </c>
      <c r="R881" t="inlineStr">
        <is>
          <t>No</t>
        </is>
      </c>
      <c r="S881">
        <f>IF(OR(E881="",D881=""),"",MAX(0,E881-D881))</f>
        <v/>
      </c>
      <c r="T881" t="inlineStr">
        <is>
          <t>No</t>
        </is>
      </c>
      <c r="U881" t="n">
        <v>4</v>
      </c>
      <c r="V881" t="inlineStr">
        <is>
          <t>Failed</t>
        </is>
      </c>
      <c r="W881" t="n">
        <v>2</v>
      </c>
      <c r="X881" t="inlineStr">
        <is>
          <t>Damaged Package</t>
        </is>
      </c>
    </row>
    <row r="882">
      <c r="A882" t="inlineStr">
        <is>
          <t>ORD-2026-00881</t>
        </is>
      </c>
      <c r="B882" t="inlineStr">
        <is>
          <t>CUST-0093</t>
        </is>
      </c>
      <c r="C882" s="3" t="n">
        <v>46078</v>
      </c>
      <c r="D882" s="3" t="n">
        <v>46083</v>
      </c>
      <c r="E882" s="3" t="n">
        <v>46084</v>
      </c>
      <c r="F882" t="inlineStr">
        <is>
          <t>Bengaluru</t>
        </is>
      </c>
      <c r="G882" t="inlineStr">
        <is>
          <t>Surat</t>
        </is>
      </c>
      <c r="H882" t="inlineStr">
        <is>
          <t>DHL</t>
        </is>
      </c>
      <c r="I882" t="inlineStr">
        <is>
          <t>Bike</t>
        </is>
      </c>
      <c r="J882" t="inlineStr">
        <is>
          <t>Low</t>
        </is>
      </c>
      <c r="K882" t="inlineStr">
        <is>
          <t>Delivered</t>
        </is>
      </c>
      <c r="L882" t="n">
        <v>570.66</v>
      </c>
      <c r="M882" t="n">
        <v>2490</v>
      </c>
      <c r="N882" t="n">
        <v>20.56</v>
      </c>
      <c r="O882" t="n">
        <v>2051.12</v>
      </c>
      <c r="P882" t="n">
        <v>911.55</v>
      </c>
      <c r="Q882">
        <f>ROUND(L882*M882*N882/1000+O882+P882,2)</f>
        <v/>
      </c>
      <c r="R882" t="inlineStr">
        <is>
          <t>No</t>
        </is>
      </c>
      <c r="S882">
        <f>IF(OR(E882="",D882=""),"",MAX(0,E882-D882))</f>
        <v/>
      </c>
      <c r="T882" t="inlineStr">
        <is>
          <t>No</t>
        </is>
      </c>
      <c r="U882" t="n">
        <v>1</v>
      </c>
      <c r="V882" t="inlineStr">
        <is>
          <t>COD</t>
        </is>
      </c>
      <c r="W882" t="n">
        <v>4</v>
      </c>
      <c r="X882" t="inlineStr">
        <is>
          <t>Damaged Package</t>
        </is>
      </c>
    </row>
    <row r="883">
      <c r="A883" t="inlineStr">
        <is>
          <t>ORD-2026-00882</t>
        </is>
      </c>
      <c r="B883" t="inlineStr">
        <is>
          <t>CUST-0152</t>
        </is>
      </c>
      <c r="C883" s="3" t="n">
        <v>46053</v>
      </c>
      <c r="D883" s="3" t="n">
        <v>46056</v>
      </c>
      <c r="E883" s="3" t="n">
        <v>46061</v>
      </c>
      <c r="F883" t="inlineStr">
        <is>
          <t>Hyderabad</t>
        </is>
      </c>
      <c r="G883" t="inlineStr">
        <is>
          <t>Surat</t>
        </is>
      </c>
      <c r="H883" t="inlineStr">
        <is>
          <t>Maersk</t>
        </is>
      </c>
      <c r="I883" t="inlineStr">
        <is>
          <t>Truck</t>
        </is>
      </c>
      <c r="J883" t="inlineStr">
        <is>
          <t>Critical</t>
        </is>
      </c>
      <c r="K883" t="inlineStr">
        <is>
          <t>Delivered</t>
        </is>
      </c>
      <c r="L883" t="n">
        <v>1085.65</v>
      </c>
      <c r="M883" t="n">
        <v>127</v>
      </c>
      <c r="N883" t="n">
        <v>39.31</v>
      </c>
      <c r="O883" t="n">
        <v>438.68</v>
      </c>
      <c r="P883" t="n">
        <v>237.92</v>
      </c>
      <c r="Q883">
        <f>ROUND(L883*M883*N883/1000+O883+P883,2)</f>
        <v/>
      </c>
      <c r="R883" t="inlineStr">
        <is>
          <t>No</t>
        </is>
      </c>
      <c r="S883">
        <f>IF(OR(E883="",D883=""),"",MAX(0,E883-D883))</f>
        <v/>
      </c>
      <c r="T883" t="inlineStr">
        <is>
          <t>No</t>
        </is>
      </c>
      <c r="U883" t="n">
        <v>12</v>
      </c>
      <c r="V883" t="inlineStr">
        <is>
          <t>Failed</t>
        </is>
      </c>
      <c r="W883" t="n">
        <v>5</v>
      </c>
      <c r="X883" t="inlineStr">
        <is>
          <t>Weather</t>
        </is>
      </c>
    </row>
    <row r="884">
      <c r="A884" t="inlineStr">
        <is>
          <t>ORD-2026-00883</t>
        </is>
      </c>
      <c r="B884" t="inlineStr">
        <is>
          <t>CUST-0176</t>
        </is>
      </c>
      <c r="C884" s="3" t="n">
        <v>46111</v>
      </c>
      <c r="D884" s="3" t="n">
        <v>46118</v>
      </c>
      <c r="E884" s="3" t="n">
        <v>46119</v>
      </c>
      <c r="F884" t="inlineStr">
        <is>
          <t>Delhi</t>
        </is>
      </c>
      <c r="G884" t="inlineStr">
        <is>
          <t>Bengaluru</t>
        </is>
      </c>
      <c r="H884" t="inlineStr">
        <is>
          <t>Aramex</t>
        </is>
      </c>
      <c r="I884" t="inlineStr">
        <is>
          <t>Bike</t>
        </is>
      </c>
      <c r="J884" t="inlineStr">
        <is>
          <t>High</t>
        </is>
      </c>
      <c r="K884" t="inlineStr">
        <is>
          <t>Delivered</t>
        </is>
      </c>
      <c r="L884" t="n">
        <v>541.97</v>
      </c>
      <c r="M884" t="n">
        <v>2306</v>
      </c>
      <c r="N884" t="n">
        <v>35.47</v>
      </c>
      <c r="O884" t="n">
        <v>2462.84</v>
      </c>
      <c r="P884" t="n">
        <v>1014.58</v>
      </c>
      <c r="Q884">
        <f>ROUND(L884*M884*N884/1000+O884+P884,2)</f>
        <v/>
      </c>
      <c r="R884" t="inlineStr">
        <is>
          <t>No</t>
        </is>
      </c>
      <c r="S884">
        <f>IF(OR(E884="",D884=""),"",MAX(0,E884-D884))</f>
        <v/>
      </c>
      <c r="T884" t="inlineStr">
        <is>
          <t>No</t>
        </is>
      </c>
      <c r="U884" t="n">
        <v>16</v>
      </c>
      <c r="V884" t="inlineStr">
        <is>
          <t>COD</t>
        </is>
      </c>
      <c r="W884" t="n">
        <v>2</v>
      </c>
      <c r="X884" t="inlineStr">
        <is>
          <t>Customer Unavailable</t>
        </is>
      </c>
    </row>
    <row r="885">
      <c r="A885" t="inlineStr">
        <is>
          <t>ORD-2026-00884</t>
        </is>
      </c>
      <c r="B885" t="inlineStr">
        <is>
          <t>CUST-0219</t>
        </is>
      </c>
      <c r="C885" s="3" t="n">
        <v>46091</v>
      </c>
      <c r="D885" s="3" t="n">
        <v>46098</v>
      </c>
      <c r="E885" s="3" t="n">
        <v>46098</v>
      </c>
      <c r="F885" t="inlineStr">
        <is>
          <t>Ahmedabad</t>
        </is>
      </c>
      <c r="G885" t="inlineStr">
        <is>
          <t>Delhi</t>
        </is>
      </c>
      <c r="H885" t="inlineStr">
        <is>
          <t>Delhivery</t>
        </is>
      </c>
      <c r="I885" t="inlineStr">
        <is>
          <t>Truck</t>
        </is>
      </c>
      <c r="J885" t="inlineStr">
        <is>
          <t>Low</t>
        </is>
      </c>
      <c r="K885" t="inlineStr">
        <is>
          <t>Delivered</t>
        </is>
      </c>
      <c r="L885" t="n">
        <v>1990.81</v>
      </c>
      <c r="M885" t="n">
        <v>1277</v>
      </c>
      <c r="N885" t="n">
        <v>56.44</v>
      </c>
      <c r="O885" t="n">
        <v>6645.4</v>
      </c>
      <c r="P885" t="n">
        <v>1350.51</v>
      </c>
      <c r="Q885">
        <f>ROUND(L885*M885*N885/1000+O885+P885,2)</f>
        <v/>
      </c>
      <c r="R885" t="inlineStr">
        <is>
          <t>Yes</t>
        </is>
      </c>
      <c r="S885">
        <f>IF(OR(E885="",D885=""),"",MAX(0,E885-D885))</f>
        <v/>
      </c>
      <c r="T885" t="inlineStr">
        <is>
          <t>Yes</t>
        </is>
      </c>
      <c r="U885" t="n">
        <v>66</v>
      </c>
      <c r="V885" t="inlineStr">
        <is>
          <t>Failed</t>
        </is>
      </c>
      <c r="W885" t="n">
        <v>5</v>
      </c>
      <c r="X885" t="inlineStr">
        <is>
          <t>Weather</t>
        </is>
      </c>
    </row>
    <row r="886">
      <c r="A886" t="inlineStr">
        <is>
          <t>ORD-2026-00885</t>
        </is>
      </c>
      <c r="B886" t="inlineStr">
        <is>
          <t>CUST-0209</t>
        </is>
      </c>
      <c r="C886" s="3" t="n">
        <v>46122</v>
      </c>
      <c r="D886" s="3" t="n">
        <v>46124</v>
      </c>
      <c r="E886" s="3" t="n">
        <v>46134</v>
      </c>
      <c r="F886" t="inlineStr">
        <is>
          <t>Kolkata</t>
        </is>
      </c>
      <c r="G886" t="inlineStr">
        <is>
          <t>Hyderabad</t>
        </is>
      </c>
      <c r="H886" t="inlineStr">
        <is>
          <t>Aramex</t>
        </is>
      </c>
      <c r="I886" t="inlineStr">
        <is>
          <t>Van</t>
        </is>
      </c>
      <c r="J886" t="inlineStr">
        <is>
          <t>Low</t>
        </is>
      </c>
      <c r="K886" t="inlineStr">
        <is>
          <t>Delivered</t>
        </is>
      </c>
      <c r="L886" t="n">
        <v>2449.14</v>
      </c>
      <c r="M886" t="n">
        <v>1590</v>
      </c>
      <c r="N886" t="n">
        <v>36.72</v>
      </c>
      <c r="O886" t="n">
        <v>4933.73</v>
      </c>
      <c r="P886" t="n">
        <v>1009.11</v>
      </c>
      <c r="Q886">
        <f>ROUND(L886*M886*N886/1000+O886+P886,2)</f>
        <v/>
      </c>
      <c r="R886" t="inlineStr">
        <is>
          <t>No</t>
        </is>
      </c>
      <c r="S886">
        <f>IF(OR(E886="",D886=""),"",MAX(0,E886-D886))</f>
        <v/>
      </c>
      <c r="T886" t="inlineStr">
        <is>
          <t>Yes</t>
        </is>
      </c>
      <c r="U886" t="n">
        <v>49</v>
      </c>
      <c r="V886" t="inlineStr">
        <is>
          <t>Paid</t>
        </is>
      </c>
      <c r="W886" t="n">
        <v>5</v>
      </c>
      <c r="X886" t="inlineStr">
        <is>
          <t>Damaged Package</t>
        </is>
      </c>
    </row>
    <row r="887">
      <c r="A887" t="inlineStr">
        <is>
          <t>ORD-2026-00886</t>
        </is>
      </c>
      <c r="B887" t="inlineStr">
        <is>
          <t>CUST-0162</t>
        </is>
      </c>
      <c r="C887" s="3" t="n">
        <v>46094</v>
      </c>
      <c r="D887" s="3" t="n">
        <v>46096</v>
      </c>
      <c r="E887" s="3" t="n">
        <v>46096</v>
      </c>
      <c r="F887" t="inlineStr">
        <is>
          <t>Surat</t>
        </is>
      </c>
      <c r="G887" t="inlineStr">
        <is>
          <t>Bengaluru</t>
        </is>
      </c>
      <c r="H887" t="inlineStr">
        <is>
          <t>Aramex</t>
        </is>
      </c>
      <c r="I887" t="inlineStr">
        <is>
          <t>Bike</t>
        </is>
      </c>
      <c r="J887" t="inlineStr">
        <is>
          <t>Critical</t>
        </is>
      </c>
      <c r="K887" t="inlineStr">
        <is>
          <t>Delivered</t>
        </is>
      </c>
      <c r="L887" t="n">
        <v>2144.66</v>
      </c>
      <c r="M887" t="n">
        <v>1321</v>
      </c>
      <c r="N887" t="n">
        <v>11.1</v>
      </c>
      <c r="O887" t="n">
        <v>1712.86</v>
      </c>
      <c r="P887" t="n">
        <v>282.24</v>
      </c>
      <c r="Q887">
        <f>ROUND(L887*M887*N887/1000+O887+P887,2)</f>
        <v/>
      </c>
      <c r="R887" t="inlineStr">
        <is>
          <t>Yes</t>
        </is>
      </c>
      <c r="S887">
        <f>IF(OR(E887="",D887=""),"",MAX(0,E887-D887))</f>
        <v/>
      </c>
      <c r="T887" t="inlineStr">
        <is>
          <t>No</t>
        </is>
      </c>
      <c r="U887" t="n">
        <v>19</v>
      </c>
      <c r="V887" t="inlineStr">
        <is>
          <t>Paid</t>
        </is>
      </c>
      <c r="W887" t="n">
        <v>3</v>
      </c>
      <c r="X887" t="inlineStr">
        <is>
          <t>Address Error</t>
        </is>
      </c>
    </row>
    <row r="888">
      <c r="A888" t="inlineStr">
        <is>
          <t>ORD-2026-00887</t>
        </is>
      </c>
      <c r="B888" t="inlineStr">
        <is>
          <t>CUST-0115</t>
        </is>
      </c>
      <c r="C888" s="3" t="n">
        <v>46186</v>
      </c>
      <c r="D888" s="3" t="n">
        <v>46191</v>
      </c>
      <c r="E888" s="3" t="n">
        <v>46191</v>
      </c>
      <c r="F888" t="inlineStr">
        <is>
          <t>Delhi</t>
        </is>
      </c>
      <c r="G888" t="inlineStr">
        <is>
          <t>Chennai</t>
        </is>
      </c>
      <c r="H888" t="inlineStr">
        <is>
          <t>Aramex</t>
        </is>
      </c>
      <c r="I888" t="inlineStr">
        <is>
          <t>Container</t>
        </is>
      </c>
      <c r="J888" t="inlineStr">
        <is>
          <t>Normal</t>
        </is>
      </c>
      <c r="K888" t="inlineStr">
        <is>
          <t>Delivered</t>
        </is>
      </c>
      <c r="L888" t="n">
        <v>1101.9</v>
      </c>
      <c r="M888" t="n">
        <v>2457</v>
      </c>
      <c r="N888" t="n">
        <v>24.05</v>
      </c>
      <c r="O888" t="n">
        <v>2587.48</v>
      </c>
      <c r="P888" t="n">
        <v>1077.19</v>
      </c>
      <c r="Q888">
        <f>ROUND(L888*M888*N888/1000+O888+P888,2)</f>
        <v/>
      </c>
      <c r="R888" t="inlineStr">
        <is>
          <t>Yes</t>
        </is>
      </c>
      <c r="S888">
        <f>IF(OR(E888="",D888=""),"",MAX(0,E888-D888))</f>
        <v/>
      </c>
      <c r="T888" t="inlineStr">
        <is>
          <t>Yes</t>
        </is>
      </c>
      <c r="U888" t="n">
        <v>45</v>
      </c>
      <c r="V888" t="inlineStr">
        <is>
          <t>Paid</t>
        </is>
      </c>
      <c r="W888" t="n">
        <v>5</v>
      </c>
      <c r="X888" t="inlineStr">
        <is>
          <t>Customer Unavailable</t>
        </is>
      </c>
    </row>
    <row r="889">
      <c r="A889" t="inlineStr">
        <is>
          <t>ORD-2026-00888</t>
        </is>
      </c>
      <c r="B889" t="inlineStr">
        <is>
          <t>CUST-0018</t>
        </is>
      </c>
      <c r="C889" s="3" t="n">
        <v>46046</v>
      </c>
      <c r="D889" s="3" t="n">
        <v>46054</v>
      </c>
      <c r="E889" s="3" t="n">
        <v>46055</v>
      </c>
      <c r="F889" t="inlineStr">
        <is>
          <t>Pune</t>
        </is>
      </c>
      <c r="G889" t="inlineStr">
        <is>
          <t>Ahmedabad</t>
        </is>
      </c>
      <c r="H889" t="inlineStr">
        <is>
          <t>Delhivery</t>
        </is>
      </c>
      <c r="I889" t="inlineStr">
        <is>
          <t>Bike</t>
        </is>
      </c>
      <c r="J889" t="inlineStr">
        <is>
          <t>High</t>
        </is>
      </c>
      <c r="K889" t="inlineStr">
        <is>
          <t>Delivered</t>
        </is>
      </c>
      <c r="L889" t="n">
        <v>2307.11</v>
      </c>
      <c r="M889" t="n">
        <v>200</v>
      </c>
      <c r="N889" t="n">
        <v>63.97</v>
      </c>
      <c r="O889" t="n">
        <v>1886.89</v>
      </c>
      <c r="P889" t="n">
        <v>1400.08</v>
      </c>
      <c r="Q889">
        <f>ROUND(L889*M889*N889/1000+O889+P889,2)</f>
        <v/>
      </c>
      <c r="R889" t="inlineStr">
        <is>
          <t>No</t>
        </is>
      </c>
      <c r="S889">
        <f>IF(OR(E889="",D889=""),"",MAX(0,E889-D889))</f>
        <v/>
      </c>
      <c r="T889" t="inlineStr">
        <is>
          <t>Yes</t>
        </is>
      </c>
      <c r="U889" t="n">
        <v>25</v>
      </c>
      <c r="V889" t="inlineStr">
        <is>
          <t>Pending</t>
        </is>
      </c>
      <c r="W889" t="n">
        <v>2</v>
      </c>
      <c r="X889" t="inlineStr">
        <is>
          <t>Weather</t>
        </is>
      </c>
    </row>
    <row r="890">
      <c r="A890" t="inlineStr">
        <is>
          <t>ORD-2026-00889</t>
        </is>
      </c>
      <c r="B890" t="inlineStr">
        <is>
          <t>CUST-0120</t>
        </is>
      </c>
      <c r="C890" s="3" t="n">
        <v>46082</v>
      </c>
      <c r="D890" s="3" t="n">
        <v>46084</v>
      </c>
      <c r="E890" s="3" t="n">
        <v>46089</v>
      </c>
      <c r="F890" t="inlineStr">
        <is>
          <t>Surat</t>
        </is>
      </c>
      <c r="G890" t="inlineStr">
        <is>
          <t>Mumbai</t>
        </is>
      </c>
      <c r="H890" t="inlineStr">
        <is>
          <t>Delhivery</t>
        </is>
      </c>
      <c r="I890" t="inlineStr">
        <is>
          <t>Van</t>
        </is>
      </c>
      <c r="J890" t="inlineStr">
        <is>
          <t>Normal</t>
        </is>
      </c>
      <c r="K890" t="inlineStr">
        <is>
          <t>Delivered</t>
        </is>
      </c>
      <c r="L890" t="n">
        <v>785.84</v>
      </c>
      <c r="M890" t="n">
        <v>706</v>
      </c>
      <c r="N890" t="n">
        <v>19.55</v>
      </c>
      <c r="O890" t="n">
        <v>921.39</v>
      </c>
      <c r="P890" t="n">
        <v>613.9400000000001</v>
      </c>
      <c r="Q890">
        <f>ROUND(L890*M890*N890/1000+O890+P890,2)</f>
        <v/>
      </c>
      <c r="R890" t="inlineStr">
        <is>
          <t>No</t>
        </is>
      </c>
      <c r="S890">
        <f>IF(OR(E890="",D890=""),"",MAX(0,E890-D890))</f>
        <v/>
      </c>
      <c r="T890" t="inlineStr">
        <is>
          <t>Yes</t>
        </is>
      </c>
      <c r="U890" t="n">
        <v>14</v>
      </c>
      <c r="V890" t="inlineStr">
        <is>
          <t>Paid</t>
        </is>
      </c>
      <c r="W890" t="n">
        <v>5</v>
      </c>
      <c r="X890" t="inlineStr">
        <is>
          <t>Address Error</t>
        </is>
      </c>
    </row>
    <row r="891">
      <c r="A891" t="inlineStr">
        <is>
          <t>ORD-2026-00890</t>
        </is>
      </c>
      <c r="B891" t="inlineStr">
        <is>
          <t>CUST-0140</t>
        </is>
      </c>
      <c r="C891" s="3" t="n">
        <v>46023</v>
      </c>
      <c r="D891" s="3" t="n">
        <v>46030</v>
      </c>
      <c r="E891" s="3" t="n">
        <v>46030</v>
      </c>
      <c r="F891" t="inlineStr">
        <is>
          <t>Kolkata</t>
        </is>
      </c>
      <c r="G891" t="inlineStr">
        <is>
          <t>Hyderabad</t>
        </is>
      </c>
      <c r="H891" t="inlineStr">
        <is>
          <t>Delhivery</t>
        </is>
      </c>
      <c r="I891" t="inlineStr">
        <is>
          <t>Van</t>
        </is>
      </c>
      <c r="J891" t="inlineStr">
        <is>
          <t>Normal</t>
        </is>
      </c>
      <c r="K891" t="inlineStr">
        <is>
          <t>Delivered</t>
        </is>
      </c>
      <c r="L891" t="n">
        <v>595.3099999999999</v>
      </c>
      <c r="M891" t="n">
        <v>2107</v>
      </c>
      <c r="N891" t="n">
        <v>63.83</v>
      </c>
      <c r="O891" t="n">
        <v>3928.33</v>
      </c>
      <c r="P891" t="n">
        <v>712.24</v>
      </c>
      <c r="Q891">
        <f>ROUND(L891*M891*N891/1000+O891+P891,2)</f>
        <v/>
      </c>
      <c r="R891" t="inlineStr">
        <is>
          <t>Yes</t>
        </is>
      </c>
      <c r="S891">
        <f>IF(OR(E891="",D891=""),"",MAX(0,E891-D891))</f>
        <v/>
      </c>
      <c r="T891" t="inlineStr">
        <is>
          <t>Yes</t>
        </is>
      </c>
      <c r="U891" t="n">
        <v>58</v>
      </c>
      <c r="V891" t="inlineStr">
        <is>
          <t>Paid</t>
        </is>
      </c>
      <c r="W891" t="n">
        <v>5</v>
      </c>
      <c r="X891" t="inlineStr">
        <is>
          <t>Vehicle Breakdown</t>
        </is>
      </c>
    </row>
    <row r="892">
      <c r="A892" t="inlineStr">
        <is>
          <t>ORD-2026-00891</t>
        </is>
      </c>
      <c r="B892" t="inlineStr">
        <is>
          <t>CUST-0131</t>
        </is>
      </c>
      <c r="C892" s="3" t="n">
        <v>46101</v>
      </c>
      <c r="D892" s="3" t="n">
        <v>46106</v>
      </c>
      <c r="E892" s="3" t="n">
        <v>46107</v>
      </c>
      <c r="F892" t="inlineStr">
        <is>
          <t>Ahmedabad</t>
        </is>
      </c>
      <c r="G892" t="inlineStr">
        <is>
          <t>Mumbai</t>
        </is>
      </c>
      <c r="H892" t="inlineStr">
        <is>
          <t>Delhivery</t>
        </is>
      </c>
      <c r="I892" t="inlineStr">
        <is>
          <t>Refrigerated Truck</t>
        </is>
      </c>
      <c r="J892" t="inlineStr">
        <is>
          <t>High</t>
        </is>
      </c>
      <c r="K892" t="inlineStr">
        <is>
          <t>Delivered</t>
        </is>
      </c>
      <c r="L892" t="n">
        <v>422.15</v>
      </c>
      <c r="M892" t="n">
        <v>2375</v>
      </c>
      <c r="N892" t="n">
        <v>26.41</v>
      </c>
      <c r="O892" t="n">
        <v>1018.14</v>
      </c>
      <c r="P892" t="n">
        <v>605.47</v>
      </c>
      <c r="Q892">
        <f>ROUND(L892*M892*N892/1000+O892+P892,2)</f>
        <v/>
      </c>
      <c r="R892" t="inlineStr">
        <is>
          <t>No</t>
        </is>
      </c>
      <c r="S892">
        <f>IF(OR(E892="",D892=""),"",MAX(0,E892-D892))</f>
        <v/>
      </c>
      <c r="T892" t="inlineStr">
        <is>
          <t>Yes</t>
        </is>
      </c>
      <c r="U892" t="n">
        <v>31</v>
      </c>
      <c r="V892" t="inlineStr">
        <is>
          <t>Failed</t>
        </is>
      </c>
      <c r="W892" t="n">
        <v>2</v>
      </c>
      <c r="X892" t="inlineStr">
        <is>
          <t>Damaged Package</t>
        </is>
      </c>
    </row>
    <row r="893">
      <c r="A893" t="inlineStr">
        <is>
          <t>ORD-2026-00892</t>
        </is>
      </c>
      <c r="B893" t="inlineStr">
        <is>
          <t>CUST-0235</t>
        </is>
      </c>
      <c r="C893" s="3" t="n">
        <v>46087</v>
      </c>
      <c r="D893" s="3" t="n">
        <v>46089</v>
      </c>
      <c r="E893" s="3" t="n">
        <v>46089</v>
      </c>
      <c r="F893" t="inlineStr">
        <is>
          <t>Delhi</t>
        </is>
      </c>
      <c r="G893" t="inlineStr">
        <is>
          <t>Mumbai</t>
        </is>
      </c>
      <c r="H893" t="inlineStr">
        <is>
          <t>BlueDart</t>
        </is>
      </c>
      <c r="I893" t="inlineStr">
        <is>
          <t>Truck</t>
        </is>
      </c>
      <c r="J893" t="inlineStr">
        <is>
          <t>Low</t>
        </is>
      </c>
      <c r="K893" t="inlineStr">
        <is>
          <t>Delivered</t>
        </is>
      </c>
      <c r="L893" t="n">
        <v>2319.25</v>
      </c>
      <c r="M893" t="n">
        <v>1902</v>
      </c>
      <c r="N893" t="n">
        <v>50.23</v>
      </c>
      <c r="O893" t="n">
        <v>13289.97</v>
      </c>
      <c r="P893" t="n">
        <v>779.8200000000001</v>
      </c>
      <c r="Q893">
        <f>ROUND(L893*M893*N893/1000+O893+P893,2)</f>
        <v/>
      </c>
      <c r="R893" t="inlineStr">
        <is>
          <t>Yes</t>
        </is>
      </c>
      <c r="S893">
        <f>IF(OR(E893="",D893=""),"",MAX(0,E893-D893))</f>
        <v/>
      </c>
      <c r="T893" t="inlineStr">
        <is>
          <t>No</t>
        </is>
      </c>
      <c r="U893" t="n">
        <v>76</v>
      </c>
      <c r="V893" t="inlineStr">
        <is>
          <t>Pending</t>
        </is>
      </c>
      <c r="W893" t="n">
        <v>1</v>
      </c>
      <c r="X893" t="inlineStr">
        <is>
          <t>Damaged Package</t>
        </is>
      </c>
    </row>
    <row r="894">
      <c r="A894" t="inlineStr">
        <is>
          <t>ORD-2026-00893</t>
        </is>
      </c>
      <c r="B894" t="inlineStr">
        <is>
          <t>CUST-0176</t>
        </is>
      </c>
      <c r="C894" s="3" t="n">
        <v>46072</v>
      </c>
      <c r="D894" s="3" t="n">
        <v>46077</v>
      </c>
      <c r="E894" s="3" t="n">
        <v>46077</v>
      </c>
      <c r="F894" t="inlineStr">
        <is>
          <t>Kolkata</t>
        </is>
      </c>
      <c r="G894" t="inlineStr">
        <is>
          <t>Jaipur</t>
        </is>
      </c>
      <c r="H894" t="inlineStr">
        <is>
          <t>DHL</t>
        </is>
      </c>
      <c r="I894" t="inlineStr">
        <is>
          <t>Container</t>
        </is>
      </c>
      <c r="J894" t="inlineStr">
        <is>
          <t>Normal</t>
        </is>
      </c>
      <c r="K894" t="inlineStr">
        <is>
          <t>Delivered</t>
        </is>
      </c>
      <c r="L894" t="n">
        <v>429.46</v>
      </c>
      <c r="M894" t="n">
        <v>2241</v>
      </c>
      <c r="N894" t="n">
        <v>27.39</v>
      </c>
      <c r="O894" t="n">
        <v>2103.18</v>
      </c>
      <c r="P894" t="n">
        <v>1180.9</v>
      </c>
      <c r="Q894">
        <f>ROUND(L894*M894*N894/1000+O894+P894,2)</f>
        <v/>
      </c>
      <c r="R894" t="inlineStr">
        <is>
          <t>Yes</t>
        </is>
      </c>
      <c r="S894">
        <f>IF(OR(E894="",D894=""),"",MAX(0,E894-D894))</f>
        <v/>
      </c>
      <c r="T894" t="inlineStr">
        <is>
          <t>Yes</t>
        </is>
      </c>
      <c r="U894" t="n">
        <v>15</v>
      </c>
      <c r="V894" t="inlineStr">
        <is>
          <t>Pending</t>
        </is>
      </c>
      <c r="W894" t="n">
        <v>5</v>
      </c>
      <c r="X894" t="inlineStr">
        <is>
          <t>Damaged Package</t>
        </is>
      </c>
    </row>
    <row r="895">
      <c r="A895" t="inlineStr">
        <is>
          <t>ORD-2026-00894</t>
        </is>
      </c>
      <c r="B895" t="inlineStr">
        <is>
          <t>CUST-0163</t>
        </is>
      </c>
      <c r="C895" s="3" t="n">
        <v>46104</v>
      </c>
      <c r="D895" s="3" t="n">
        <v>46111</v>
      </c>
      <c r="E895" s="3" t="n">
        <v>46111</v>
      </c>
      <c r="F895" t="inlineStr">
        <is>
          <t>Chennai</t>
        </is>
      </c>
      <c r="G895" t="inlineStr">
        <is>
          <t>Chennai</t>
        </is>
      </c>
      <c r="H895" t="inlineStr">
        <is>
          <t>Maersk</t>
        </is>
      </c>
      <c r="I895" t="inlineStr">
        <is>
          <t>Van</t>
        </is>
      </c>
      <c r="J895" t="inlineStr">
        <is>
          <t>Critical</t>
        </is>
      </c>
      <c r="K895" t="inlineStr">
        <is>
          <t>Delivered</t>
        </is>
      </c>
      <c r="L895" t="n">
        <v>1875.8</v>
      </c>
      <c r="M895" t="n">
        <v>98</v>
      </c>
      <c r="N895" t="n">
        <v>36.09</v>
      </c>
      <c r="O895" t="n">
        <v>478.8</v>
      </c>
      <c r="P895" t="n">
        <v>826.01</v>
      </c>
      <c r="Q895">
        <f>ROUND(L895*M895*N895/1000+O895+P895,2)</f>
        <v/>
      </c>
      <c r="R895" t="inlineStr">
        <is>
          <t>Yes</t>
        </is>
      </c>
      <c r="S895">
        <f>IF(OR(E895="",D895=""),"",MAX(0,E895-D895))</f>
        <v/>
      </c>
      <c r="T895" t="inlineStr">
        <is>
          <t>No</t>
        </is>
      </c>
      <c r="U895" t="n">
        <v>8</v>
      </c>
      <c r="V895" t="inlineStr">
        <is>
          <t>Failed</t>
        </is>
      </c>
      <c r="W895" t="n">
        <v>4</v>
      </c>
      <c r="X895" t="inlineStr">
        <is>
          <t>Address Error</t>
        </is>
      </c>
    </row>
    <row r="896">
      <c r="A896" t="inlineStr">
        <is>
          <t>ORD-2026-00895</t>
        </is>
      </c>
      <c r="B896" t="inlineStr">
        <is>
          <t>CUST-0162</t>
        </is>
      </c>
      <c r="C896" s="3" t="n">
        <v>46126</v>
      </c>
      <c r="D896" s="3" t="n">
        <v>46129</v>
      </c>
      <c r="E896" s="3" t="n"/>
      <c r="F896" t="inlineStr">
        <is>
          <t>Hyderabad</t>
        </is>
      </c>
      <c r="G896" t="inlineStr">
        <is>
          <t>Hyderabad</t>
        </is>
      </c>
      <c r="H896" t="inlineStr">
        <is>
          <t>Maersk</t>
        </is>
      </c>
      <c r="I896" t="inlineStr">
        <is>
          <t>Truck</t>
        </is>
      </c>
      <c r="J896" t="inlineStr">
        <is>
          <t>Low</t>
        </is>
      </c>
      <c r="K896" t="inlineStr">
        <is>
          <t>In Transit</t>
        </is>
      </c>
      <c r="L896" t="n">
        <v>940.6</v>
      </c>
      <c r="M896" t="n">
        <v>593</v>
      </c>
      <c r="N896" t="n">
        <v>12.81</v>
      </c>
      <c r="O896" t="n">
        <v>574.76</v>
      </c>
      <c r="P896" t="n">
        <v>287.06</v>
      </c>
      <c r="Q896">
        <f>ROUND(L896*M896*N896/1000+O896+P896,2)</f>
        <v/>
      </c>
      <c r="R896" t="inlineStr">
        <is>
          <t>No</t>
        </is>
      </c>
      <c r="S896">
        <f>IF(OR(E896="",D896=""),"",MAX(0,E896-D896))</f>
        <v/>
      </c>
      <c r="T896" t="inlineStr">
        <is>
          <t>No</t>
        </is>
      </c>
      <c r="U896" t="n">
        <v>47</v>
      </c>
      <c r="V896" t="inlineStr">
        <is>
          <t>Paid</t>
        </is>
      </c>
      <c r="W896" t="n">
        <v>3</v>
      </c>
      <c r="X896" t="inlineStr">
        <is>
          <t>Customs</t>
        </is>
      </c>
    </row>
    <row r="897">
      <c r="A897" t="inlineStr">
        <is>
          <t>ORD-2026-00896</t>
        </is>
      </c>
      <c r="B897" t="inlineStr">
        <is>
          <t>CUST-0147</t>
        </is>
      </c>
      <c r="C897" s="3" t="n">
        <v>46137</v>
      </c>
      <c r="D897" s="3" t="n">
        <v>46139</v>
      </c>
      <c r="E897" s="3" t="n">
        <v>46140</v>
      </c>
      <c r="F897" t="inlineStr">
        <is>
          <t>Delhi</t>
        </is>
      </c>
      <c r="G897" t="inlineStr">
        <is>
          <t>Hyderabad</t>
        </is>
      </c>
      <c r="H897" t="inlineStr">
        <is>
          <t>DTDC</t>
        </is>
      </c>
      <c r="I897" t="inlineStr">
        <is>
          <t>Container</t>
        </is>
      </c>
      <c r="J897" t="inlineStr">
        <is>
          <t>Critical</t>
        </is>
      </c>
      <c r="K897" t="inlineStr">
        <is>
          <t>Delivered</t>
        </is>
      </c>
      <c r="L897" t="n">
        <v>376.28</v>
      </c>
      <c r="M897" t="n">
        <v>303</v>
      </c>
      <c r="N897" t="n">
        <v>37.8</v>
      </c>
      <c r="O897" t="n">
        <v>328.42</v>
      </c>
      <c r="P897" t="n">
        <v>277.84</v>
      </c>
      <c r="Q897">
        <f>ROUND(L897*M897*N897/1000+O897+P897,2)</f>
        <v/>
      </c>
      <c r="R897" t="inlineStr">
        <is>
          <t>No</t>
        </is>
      </c>
      <c r="S897">
        <f>IF(OR(E897="",D897=""),"",MAX(0,E897-D897))</f>
        <v/>
      </c>
      <c r="T897" t="inlineStr">
        <is>
          <t>Yes</t>
        </is>
      </c>
      <c r="U897" t="n">
        <v>72</v>
      </c>
      <c r="V897" t="inlineStr">
        <is>
          <t>COD</t>
        </is>
      </c>
      <c r="W897" t="n">
        <v>2</v>
      </c>
      <c r="X897" t="inlineStr">
        <is>
          <t>Weather</t>
        </is>
      </c>
    </row>
    <row r="898">
      <c r="A898" t="inlineStr">
        <is>
          <t>ORD-2026-00897</t>
        </is>
      </c>
      <c r="B898" t="inlineStr">
        <is>
          <t>CUST-0009</t>
        </is>
      </c>
      <c r="C898" s="3" t="n">
        <v>46182</v>
      </c>
      <c r="D898" s="3" t="n">
        <v>46187</v>
      </c>
      <c r="E898" s="3" t="n">
        <v>46189</v>
      </c>
      <c r="F898" t="inlineStr">
        <is>
          <t>Kolkata</t>
        </is>
      </c>
      <c r="G898" t="inlineStr">
        <is>
          <t>Bengaluru</t>
        </is>
      </c>
      <c r="H898" t="inlineStr">
        <is>
          <t>Maersk</t>
        </is>
      </c>
      <c r="I898" t="inlineStr">
        <is>
          <t>Bike</t>
        </is>
      </c>
      <c r="J898" t="inlineStr">
        <is>
          <t>Critical</t>
        </is>
      </c>
      <c r="K898" t="inlineStr">
        <is>
          <t>Delivered</t>
        </is>
      </c>
      <c r="L898" t="n">
        <v>2382.74</v>
      </c>
      <c r="M898" t="n">
        <v>524</v>
      </c>
      <c r="N898" t="n">
        <v>58.85</v>
      </c>
      <c r="O898" t="n">
        <v>2370.92</v>
      </c>
      <c r="P898" t="n">
        <v>509.7</v>
      </c>
      <c r="Q898">
        <f>ROUND(L898*M898*N898/1000+O898+P898,2)</f>
        <v/>
      </c>
      <c r="R898" t="inlineStr">
        <is>
          <t>No</t>
        </is>
      </c>
      <c r="S898">
        <f>IF(OR(E898="",D898=""),"",MAX(0,E898-D898))</f>
        <v/>
      </c>
      <c r="T898" t="inlineStr">
        <is>
          <t>No</t>
        </is>
      </c>
      <c r="U898" t="n">
        <v>65</v>
      </c>
      <c r="V898" t="inlineStr">
        <is>
          <t>COD</t>
        </is>
      </c>
      <c r="W898" t="n">
        <v>2</v>
      </c>
      <c r="X898" t="inlineStr">
        <is>
          <t>Vehicle Breakdown</t>
        </is>
      </c>
    </row>
    <row r="899">
      <c r="A899" t="inlineStr">
        <is>
          <t>ORD-2026-00898</t>
        </is>
      </c>
      <c r="B899" t="inlineStr">
        <is>
          <t>CUST-0140</t>
        </is>
      </c>
      <c r="C899" s="3" t="n">
        <v>46178</v>
      </c>
      <c r="D899" s="3" t="n">
        <v>46184</v>
      </c>
      <c r="E899" s="3" t="n">
        <v>46187</v>
      </c>
      <c r="F899" t="inlineStr">
        <is>
          <t>Surat</t>
        </is>
      </c>
      <c r="G899" t="inlineStr">
        <is>
          <t>Jaipur</t>
        </is>
      </c>
      <c r="H899" t="inlineStr">
        <is>
          <t>Aramex</t>
        </is>
      </c>
      <c r="I899" t="inlineStr">
        <is>
          <t>Van</t>
        </is>
      </c>
      <c r="J899" t="inlineStr">
        <is>
          <t>Critical</t>
        </is>
      </c>
      <c r="K899" t="inlineStr">
        <is>
          <t>Delivered</t>
        </is>
      </c>
      <c r="L899" t="n">
        <v>1384.08</v>
      </c>
      <c r="M899" t="n">
        <v>275</v>
      </c>
      <c r="N899" t="n">
        <v>44.89</v>
      </c>
      <c r="O899" t="n">
        <v>803.29</v>
      </c>
      <c r="P899" t="n">
        <v>688.76</v>
      </c>
      <c r="Q899">
        <f>ROUND(L899*M899*N899/1000+O899+P899,2)</f>
        <v/>
      </c>
      <c r="R899" t="inlineStr">
        <is>
          <t>No</t>
        </is>
      </c>
      <c r="S899">
        <f>IF(OR(E899="",D899=""),"",MAX(0,E899-D899))</f>
        <v/>
      </c>
      <c r="T899" t="inlineStr">
        <is>
          <t>Yes</t>
        </is>
      </c>
      <c r="U899" t="n">
        <v>46</v>
      </c>
      <c r="V899" t="inlineStr">
        <is>
          <t>Pending</t>
        </is>
      </c>
      <c r="W899" t="n">
        <v>2</v>
      </c>
      <c r="X899" t="inlineStr">
        <is>
          <t>Customs</t>
        </is>
      </c>
    </row>
    <row r="900">
      <c r="A900" t="inlineStr">
        <is>
          <t>ORD-2026-00899</t>
        </is>
      </c>
      <c r="B900" t="inlineStr">
        <is>
          <t>CUST-0098</t>
        </is>
      </c>
      <c r="C900" s="3" t="n">
        <v>46125</v>
      </c>
      <c r="D900" s="3" t="n">
        <v>46133</v>
      </c>
      <c r="E900" s="3" t="n">
        <v>46133</v>
      </c>
      <c r="F900" t="inlineStr">
        <is>
          <t>Mumbai</t>
        </is>
      </c>
      <c r="G900" t="inlineStr">
        <is>
          <t>Kolkata</t>
        </is>
      </c>
      <c r="H900" t="inlineStr">
        <is>
          <t>BlueDart</t>
        </is>
      </c>
      <c r="I900" t="inlineStr">
        <is>
          <t>Container</t>
        </is>
      </c>
      <c r="J900" t="inlineStr">
        <is>
          <t>Critical</t>
        </is>
      </c>
      <c r="K900" t="inlineStr">
        <is>
          <t>Delivered</t>
        </is>
      </c>
      <c r="L900" t="n">
        <v>1922.88</v>
      </c>
      <c r="M900" t="n">
        <v>2694</v>
      </c>
      <c r="N900" t="n">
        <v>18.65</v>
      </c>
      <c r="O900" t="n">
        <v>8311.889999999999</v>
      </c>
      <c r="P900" t="n">
        <v>688.97</v>
      </c>
      <c r="Q900">
        <f>ROUND(L900*M900*N900/1000+O900+P900,2)</f>
        <v/>
      </c>
      <c r="R900" t="inlineStr">
        <is>
          <t>Yes</t>
        </is>
      </c>
      <c r="S900">
        <f>IF(OR(E900="",D900=""),"",MAX(0,E900-D900))</f>
        <v/>
      </c>
      <c r="T900" t="inlineStr">
        <is>
          <t>No</t>
        </is>
      </c>
      <c r="U900" t="n">
        <v>50</v>
      </c>
      <c r="V900" t="inlineStr">
        <is>
          <t>Pending</t>
        </is>
      </c>
      <c r="W900" t="n">
        <v>5</v>
      </c>
      <c r="X900" t="inlineStr">
        <is>
          <t>Customs</t>
        </is>
      </c>
    </row>
    <row r="901">
      <c r="A901" t="inlineStr">
        <is>
          <t>ORD-2026-00900</t>
        </is>
      </c>
      <c r="B901" t="inlineStr">
        <is>
          <t>CUST-0010</t>
        </is>
      </c>
      <c r="C901" s="3" t="n">
        <v>46134</v>
      </c>
      <c r="D901" s="3" t="n">
        <v>46142</v>
      </c>
      <c r="E901" s="3" t="n">
        <v>46143</v>
      </c>
      <c r="F901" t="inlineStr">
        <is>
          <t>Surat</t>
        </is>
      </c>
      <c r="G901" t="inlineStr">
        <is>
          <t>Hyderabad</t>
        </is>
      </c>
      <c r="H901" t="inlineStr">
        <is>
          <t>Maersk</t>
        </is>
      </c>
      <c r="I901" t="inlineStr">
        <is>
          <t>Bike</t>
        </is>
      </c>
      <c r="J901" t="inlineStr">
        <is>
          <t>Low</t>
        </is>
      </c>
      <c r="K901" t="inlineStr">
        <is>
          <t>Delivered</t>
        </is>
      </c>
      <c r="L901" t="n">
        <v>2085.3</v>
      </c>
      <c r="M901" t="n">
        <v>1316</v>
      </c>
      <c r="N901" t="n">
        <v>37.42</v>
      </c>
      <c r="O901" t="n">
        <v>4289.28</v>
      </c>
      <c r="P901" t="n">
        <v>1491.4</v>
      </c>
      <c r="Q901">
        <f>ROUND(L901*M901*N901/1000+O901+P901,2)</f>
        <v/>
      </c>
      <c r="R901" t="inlineStr">
        <is>
          <t>No</t>
        </is>
      </c>
      <c r="S901">
        <f>IF(OR(E901="",D901=""),"",MAX(0,E901-D901))</f>
        <v/>
      </c>
      <c r="T901" t="inlineStr">
        <is>
          <t>No</t>
        </is>
      </c>
      <c r="U901" t="n">
        <v>24</v>
      </c>
      <c r="V901" t="inlineStr">
        <is>
          <t>Pending</t>
        </is>
      </c>
      <c r="W901" t="n">
        <v>3</v>
      </c>
      <c r="X901" t="inlineStr">
        <is>
          <t>None</t>
        </is>
      </c>
    </row>
    <row r="902">
      <c r="A902" t="inlineStr">
        <is>
          <t>ORD-2026-00901</t>
        </is>
      </c>
      <c r="B902" t="inlineStr">
        <is>
          <t>CUST-0146</t>
        </is>
      </c>
      <c r="C902" s="3" t="n">
        <v>46201</v>
      </c>
      <c r="D902" s="3" t="n">
        <v>46206</v>
      </c>
      <c r="E902" s="3" t="n">
        <v>46209</v>
      </c>
      <c r="F902" t="inlineStr">
        <is>
          <t>Ahmedabad</t>
        </is>
      </c>
      <c r="G902" t="inlineStr">
        <is>
          <t>Ahmedabad</t>
        </is>
      </c>
      <c r="H902" t="inlineStr">
        <is>
          <t>Maersk</t>
        </is>
      </c>
      <c r="I902" t="inlineStr">
        <is>
          <t>Van</t>
        </is>
      </c>
      <c r="J902" t="inlineStr">
        <is>
          <t>Normal</t>
        </is>
      </c>
      <c r="K902" t="inlineStr">
        <is>
          <t>Delivered</t>
        </is>
      </c>
      <c r="L902" t="n">
        <v>2169.53</v>
      </c>
      <c r="M902" t="n">
        <v>1603</v>
      </c>
      <c r="N902" t="n">
        <v>29.71</v>
      </c>
      <c r="O902" t="n">
        <v>6940.53</v>
      </c>
      <c r="P902" t="n">
        <v>1034.71</v>
      </c>
      <c r="Q902">
        <f>ROUND(L902*M902*N902/1000+O902+P902,2)</f>
        <v/>
      </c>
      <c r="R902" t="inlineStr">
        <is>
          <t>No</t>
        </is>
      </c>
      <c r="S902">
        <f>IF(OR(E902="",D902=""),"",MAX(0,E902-D902))</f>
        <v/>
      </c>
      <c r="T902" t="inlineStr">
        <is>
          <t>No</t>
        </is>
      </c>
      <c r="U902" t="n">
        <v>70</v>
      </c>
      <c r="V902" t="inlineStr">
        <is>
          <t>Pending</t>
        </is>
      </c>
      <c r="W902" t="n">
        <v>3</v>
      </c>
      <c r="X902" t="inlineStr">
        <is>
          <t>Customer Unavailable</t>
        </is>
      </c>
    </row>
    <row r="903">
      <c r="A903" t="inlineStr">
        <is>
          <t>ORD-2026-00902</t>
        </is>
      </c>
      <c r="B903" t="inlineStr">
        <is>
          <t>CUST-0157</t>
        </is>
      </c>
      <c r="C903" s="3" t="n">
        <v>46118</v>
      </c>
      <c r="D903" s="3" t="n">
        <v>46123</v>
      </c>
      <c r="E903" s="3" t="n">
        <v>46123</v>
      </c>
      <c r="F903" t="inlineStr">
        <is>
          <t>Pune</t>
        </is>
      </c>
      <c r="G903" t="inlineStr">
        <is>
          <t>Delhi</t>
        </is>
      </c>
      <c r="H903" t="inlineStr">
        <is>
          <t>Maersk</t>
        </is>
      </c>
      <c r="I903" t="inlineStr">
        <is>
          <t>Truck</t>
        </is>
      </c>
      <c r="J903" t="inlineStr">
        <is>
          <t>Normal</t>
        </is>
      </c>
      <c r="K903" t="inlineStr">
        <is>
          <t>Delivered</t>
        </is>
      </c>
      <c r="L903" t="n">
        <v>983.24</v>
      </c>
      <c r="M903" t="n">
        <v>2436</v>
      </c>
      <c r="N903" t="n">
        <v>30.46</v>
      </c>
      <c r="O903" t="n">
        <v>2803.1</v>
      </c>
      <c r="P903" t="n">
        <v>1243.17</v>
      </c>
      <c r="Q903">
        <f>ROUND(L903*M903*N903/1000+O903+P903,2)</f>
        <v/>
      </c>
      <c r="R903" t="inlineStr">
        <is>
          <t>Yes</t>
        </is>
      </c>
      <c r="S903">
        <f>IF(OR(E903="",D903=""),"",MAX(0,E903-D903))</f>
        <v/>
      </c>
      <c r="T903" t="inlineStr">
        <is>
          <t>No</t>
        </is>
      </c>
      <c r="U903" t="n">
        <v>51</v>
      </c>
      <c r="V903" t="inlineStr">
        <is>
          <t>Pending</t>
        </is>
      </c>
      <c r="W903" t="n">
        <v>2</v>
      </c>
      <c r="X903" t="inlineStr">
        <is>
          <t>Customs</t>
        </is>
      </c>
    </row>
    <row r="904">
      <c r="A904" t="inlineStr">
        <is>
          <t>ORD-2026-00903</t>
        </is>
      </c>
      <c r="B904" t="inlineStr">
        <is>
          <t>CUST-0185</t>
        </is>
      </c>
      <c r="C904" s="3" t="n">
        <v>46169</v>
      </c>
      <c r="D904" s="3" t="n">
        <v>46171</v>
      </c>
      <c r="E904" s="3" t="n">
        <v>46171</v>
      </c>
      <c r="F904" t="inlineStr">
        <is>
          <t>Jaipur</t>
        </is>
      </c>
      <c r="G904" t="inlineStr">
        <is>
          <t>Delhi</t>
        </is>
      </c>
      <c r="H904" t="inlineStr">
        <is>
          <t>FedEx</t>
        </is>
      </c>
      <c r="I904" t="inlineStr">
        <is>
          <t>Container</t>
        </is>
      </c>
      <c r="J904" t="inlineStr">
        <is>
          <t>Normal</t>
        </is>
      </c>
      <c r="K904" t="inlineStr">
        <is>
          <t>Delivered</t>
        </is>
      </c>
      <c r="L904" t="n">
        <v>199.48</v>
      </c>
      <c r="M904" t="n">
        <v>2792</v>
      </c>
      <c r="N904" t="n">
        <v>60.21</v>
      </c>
      <c r="O904" t="n">
        <v>1381.46</v>
      </c>
      <c r="P904" t="n">
        <v>1147.02</v>
      </c>
      <c r="Q904">
        <f>ROUND(L904*M904*N904/1000+O904+P904,2)</f>
        <v/>
      </c>
      <c r="R904" t="inlineStr">
        <is>
          <t>Yes</t>
        </is>
      </c>
      <c r="S904">
        <f>IF(OR(E904="",D904=""),"",MAX(0,E904-D904))</f>
        <v/>
      </c>
      <c r="T904" t="inlineStr">
        <is>
          <t>Yes</t>
        </is>
      </c>
      <c r="U904" t="n">
        <v>52</v>
      </c>
      <c r="V904" t="inlineStr">
        <is>
          <t>Pending</t>
        </is>
      </c>
      <c r="W904" t="n">
        <v>2</v>
      </c>
      <c r="X904" t="inlineStr">
        <is>
          <t>Vehicle Breakdown</t>
        </is>
      </c>
    </row>
    <row r="905">
      <c r="A905" t="inlineStr">
        <is>
          <t>ORD-2026-00904</t>
        </is>
      </c>
      <c r="B905" t="inlineStr">
        <is>
          <t>CUST-0244</t>
        </is>
      </c>
      <c r="C905" s="3" t="n">
        <v>46158</v>
      </c>
      <c r="D905" s="3" t="n">
        <v>46164</v>
      </c>
      <c r="E905" s="3" t="n">
        <v>46164</v>
      </c>
      <c r="F905" t="inlineStr">
        <is>
          <t>Jaipur</t>
        </is>
      </c>
      <c r="G905" t="inlineStr">
        <is>
          <t>Surat</t>
        </is>
      </c>
      <c r="H905" t="inlineStr">
        <is>
          <t>FedEx</t>
        </is>
      </c>
      <c r="I905" t="inlineStr">
        <is>
          <t>Container</t>
        </is>
      </c>
      <c r="J905" t="inlineStr">
        <is>
          <t>High</t>
        </is>
      </c>
      <c r="K905" t="inlineStr">
        <is>
          <t>Delivered</t>
        </is>
      </c>
      <c r="L905" t="n">
        <v>2348.98</v>
      </c>
      <c r="M905" t="n">
        <v>440</v>
      </c>
      <c r="N905" t="n">
        <v>39.92</v>
      </c>
      <c r="O905" t="n">
        <v>2206.27</v>
      </c>
      <c r="P905" t="n">
        <v>561.39</v>
      </c>
      <c r="Q905">
        <f>ROUND(L905*M905*N905/1000+O905+P905,2)</f>
        <v/>
      </c>
      <c r="R905" t="inlineStr">
        <is>
          <t>Yes</t>
        </is>
      </c>
      <c r="S905">
        <f>IF(OR(E905="",D905=""),"",MAX(0,E905-D905))</f>
        <v/>
      </c>
      <c r="T905" t="inlineStr">
        <is>
          <t>Yes</t>
        </is>
      </c>
      <c r="U905" t="n">
        <v>79</v>
      </c>
      <c r="V905" t="inlineStr">
        <is>
          <t>COD</t>
        </is>
      </c>
      <c r="W905" t="n">
        <v>4</v>
      </c>
      <c r="X905" t="inlineStr">
        <is>
          <t>Customer Unavailable</t>
        </is>
      </c>
    </row>
    <row r="906">
      <c r="A906" t="inlineStr">
        <is>
          <t>ORD-2026-00905</t>
        </is>
      </c>
      <c r="B906" t="inlineStr">
        <is>
          <t>CUST-0212</t>
        </is>
      </c>
      <c r="C906" s="3" t="n">
        <v>46197</v>
      </c>
      <c r="D906" s="3" t="n">
        <v>46202</v>
      </c>
      <c r="E906" s="3" t="n">
        <v>46204</v>
      </c>
      <c r="F906" t="inlineStr">
        <is>
          <t>Kolkata</t>
        </is>
      </c>
      <c r="G906" t="inlineStr">
        <is>
          <t>Mumbai</t>
        </is>
      </c>
      <c r="H906" t="inlineStr">
        <is>
          <t>Aramex</t>
        </is>
      </c>
      <c r="I906" t="inlineStr">
        <is>
          <t>Van</t>
        </is>
      </c>
      <c r="J906" t="inlineStr">
        <is>
          <t>Critical</t>
        </is>
      </c>
      <c r="K906" t="inlineStr">
        <is>
          <t>Delivered</t>
        </is>
      </c>
      <c r="L906" t="n">
        <v>485.8</v>
      </c>
      <c r="M906" t="n">
        <v>2577</v>
      </c>
      <c r="N906" t="n">
        <v>43.52</v>
      </c>
      <c r="O906" t="n">
        <v>4503.84</v>
      </c>
      <c r="P906" t="n">
        <v>1342.92</v>
      </c>
      <c r="Q906">
        <f>ROUND(L906*M906*N906/1000+O906+P906,2)</f>
        <v/>
      </c>
      <c r="R906" t="inlineStr">
        <is>
          <t>No</t>
        </is>
      </c>
      <c r="S906">
        <f>IF(OR(E906="",D906=""),"",MAX(0,E906-D906))</f>
        <v/>
      </c>
      <c r="T906" t="inlineStr">
        <is>
          <t>No</t>
        </is>
      </c>
      <c r="U906" t="n">
        <v>22</v>
      </c>
      <c r="V906" t="inlineStr">
        <is>
          <t>Paid</t>
        </is>
      </c>
      <c r="W906" t="n">
        <v>2</v>
      </c>
      <c r="X906" t="inlineStr">
        <is>
          <t>Customs</t>
        </is>
      </c>
    </row>
    <row r="907">
      <c r="A907" t="inlineStr">
        <is>
          <t>ORD-2026-00906</t>
        </is>
      </c>
      <c r="B907" t="inlineStr">
        <is>
          <t>CUST-0117</t>
        </is>
      </c>
      <c r="C907" s="3" t="n">
        <v>46236</v>
      </c>
      <c r="D907" s="3" t="n">
        <v>46242</v>
      </c>
      <c r="E907" s="3" t="n">
        <v>46243</v>
      </c>
      <c r="F907" t="inlineStr">
        <is>
          <t>Mumbai</t>
        </is>
      </c>
      <c r="G907" t="inlineStr">
        <is>
          <t>Hyderabad</t>
        </is>
      </c>
      <c r="H907" t="inlineStr">
        <is>
          <t>Aramex</t>
        </is>
      </c>
      <c r="I907" t="inlineStr">
        <is>
          <t>Refrigerated Truck</t>
        </is>
      </c>
      <c r="J907" t="inlineStr">
        <is>
          <t>Normal</t>
        </is>
      </c>
      <c r="K907" t="inlineStr">
        <is>
          <t>Delivered</t>
        </is>
      </c>
      <c r="L907" t="n">
        <v>94.70999999999999</v>
      </c>
      <c r="M907" t="n">
        <v>1496</v>
      </c>
      <c r="N907" t="n">
        <v>19.98</v>
      </c>
      <c r="O907" t="n">
        <v>137.17</v>
      </c>
      <c r="P907" t="n">
        <v>501.36</v>
      </c>
      <c r="Q907">
        <f>ROUND(L907*M907*N907/1000+O907+P907,2)</f>
        <v/>
      </c>
      <c r="R907" t="inlineStr">
        <is>
          <t>No</t>
        </is>
      </c>
      <c r="S907">
        <f>IF(OR(E907="",D907=""),"",MAX(0,E907-D907))</f>
        <v/>
      </c>
      <c r="T907" t="inlineStr">
        <is>
          <t>Yes</t>
        </is>
      </c>
      <c r="U907" t="n">
        <v>28</v>
      </c>
      <c r="V907" t="inlineStr">
        <is>
          <t>Pending</t>
        </is>
      </c>
      <c r="W907" t="n">
        <v>3</v>
      </c>
      <c r="X907" t="inlineStr">
        <is>
          <t>Customs</t>
        </is>
      </c>
    </row>
    <row r="908">
      <c r="A908" t="inlineStr">
        <is>
          <t>ORD-2026-00907</t>
        </is>
      </c>
      <c r="B908" t="inlineStr">
        <is>
          <t>CUST-0005</t>
        </is>
      </c>
      <c r="C908" s="3" t="n">
        <v>46077</v>
      </c>
      <c r="D908" s="3" t="n">
        <v>46084</v>
      </c>
      <c r="E908" s="3" t="n">
        <v>46084</v>
      </c>
      <c r="F908" t="inlineStr">
        <is>
          <t>Kolkata</t>
        </is>
      </c>
      <c r="G908" t="inlineStr">
        <is>
          <t>Pune</t>
        </is>
      </c>
      <c r="H908" t="inlineStr">
        <is>
          <t>Aramex</t>
        </is>
      </c>
      <c r="I908" t="inlineStr">
        <is>
          <t>Truck</t>
        </is>
      </c>
      <c r="J908" t="inlineStr">
        <is>
          <t>Low</t>
        </is>
      </c>
      <c r="K908" t="inlineStr">
        <is>
          <t>Delivered</t>
        </is>
      </c>
      <c r="L908" t="n">
        <v>1311.55</v>
      </c>
      <c r="M908" t="n">
        <v>980</v>
      </c>
      <c r="N908" t="n">
        <v>53.53</v>
      </c>
      <c r="O908" t="n">
        <v>3910.74</v>
      </c>
      <c r="P908" t="n">
        <v>489.63</v>
      </c>
      <c r="Q908">
        <f>ROUND(L908*M908*N908/1000+O908+P908,2)</f>
        <v/>
      </c>
      <c r="R908" t="inlineStr">
        <is>
          <t>Yes</t>
        </is>
      </c>
      <c r="S908">
        <f>IF(OR(E908="",D908=""),"",MAX(0,E908-D908))</f>
        <v/>
      </c>
      <c r="T908" t="inlineStr">
        <is>
          <t>No</t>
        </is>
      </c>
      <c r="U908" t="n">
        <v>12</v>
      </c>
      <c r="V908" t="inlineStr">
        <is>
          <t>Paid</t>
        </is>
      </c>
      <c r="W908" t="n">
        <v>3</v>
      </c>
      <c r="X908" t="inlineStr">
        <is>
          <t>Address Error</t>
        </is>
      </c>
    </row>
    <row r="909">
      <c r="A909" t="inlineStr">
        <is>
          <t>ORD-2026-00908</t>
        </is>
      </c>
      <c r="B909" t="inlineStr">
        <is>
          <t>CUST-0214</t>
        </is>
      </c>
      <c r="C909" s="3" t="n">
        <v>46139</v>
      </c>
      <c r="D909" s="3" t="n">
        <v>46146</v>
      </c>
      <c r="E909" s="3" t="n">
        <v>46147</v>
      </c>
      <c r="F909" t="inlineStr">
        <is>
          <t>Delhi</t>
        </is>
      </c>
      <c r="G909" t="inlineStr">
        <is>
          <t>Jaipur</t>
        </is>
      </c>
      <c r="H909" t="inlineStr">
        <is>
          <t>BlueDart</t>
        </is>
      </c>
      <c r="I909" t="inlineStr">
        <is>
          <t>Refrigerated Truck</t>
        </is>
      </c>
      <c r="J909" t="inlineStr">
        <is>
          <t>High</t>
        </is>
      </c>
      <c r="K909" t="inlineStr">
        <is>
          <t>Delivered</t>
        </is>
      </c>
      <c r="L909" t="n">
        <v>305.47</v>
      </c>
      <c r="M909" t="n">
        <v>2428</v>
      </c>
      <c r="N909" t="n">
        <v>37.85</v>
      </c>
      <c r="O909" t="n">
        <v>1787.92</v>
      </c>
      <c r="P909" t="n">
        <v>915.51</v>
      </c>
      <c r="Q909">
        <f>ROUND(L909*M909*N909/1000+O909+P909,2)</f>
        <v/>
      </c>
      <c r="R909" t="inlineStr">
        <is>
          <t>No</t>
        </is>
      </c>
      <c r="S909">
        <f>IF(OR(E909="",D909=""),"",MAX(0,E909-D909))</f>
        <v/>
      </c>
      <c r="T909" t="inlineStr">
        <is>
          <t>Yes</t>
        </is>
      </c>
      <c r="U909" t="n">
        <v>31</v>
      </c>
      <c r="V909" t="inlineStr">
        <is>
          <t>COD</t>
        </is>
      </c>
      <c r="W909" t="n">
        <v>4</v>
      </c>
      <c r="X909" t="inlineStr">
        <is>
          <t>Address Error</t>
        </is>
      </c>
    </row>
    <row r="910">
      <c r="A910" t="inlineStr">
        <is>
          <t>ORD-2026-00909</t>
        </is>
      </c>
      <c r="B910" t="inlineStr">
        <is>
          <t>CUST-0130</t>
        </is>
      </c>
      <c r="C910" s="3" t="n">
        <v>46058</v>
      </c>
      <c r="D910" s="3" t="n">
        <v>46064</v>
      </c>
      <c r="E910" s="3" t="n">
        <v>46065</v>
      </c>
      <c r="F910" t="inlineStr">
        <is>
          <t>Chennai</t>
        </is>
      </c>
      <c r="G910" t="inlineStr">
        <is>
          <t>Jaipur</t>
        </is>
      </c>
      <c r="H910" t="inlineStr">
        <is>
          <t>DTDC</t>
        </is>
      </c>
      <c r="I910" t="inlineStr">
        <is>
          <t>Container</t>
        </is>
      </c>
      <c r="J910" t="inlineStr">
        <is>
          <t>High</t>
        </is>
      </c>
      <c r="K910" t="inlineStr">
        <is>
          <t>Delivered</t>
        </is>
      </c>
      <c r="L910" t="n">
        <v>1939.76</v>
      </c>
      <c r="M910" t="n">
        <v>1709</v>
      </c>
      <c r="N910" t="n">
        <v>11.33</v>
      </c>
      <c r="O910" t="n">
        <v>1857.97</v>
      </c>
      <c r="P910" t="n">
        <v>1163.93</v>
      </c>
      <c r="Q910">
        <f>ROUND(L910*M910*N910/1000+O910+P910,2)</f>
        <v/>
      </c>
      <c r="R910" t="inlineStr">
        <is>
          <t>No</t>
        </is>
      </c>
      <c r="S910">
        <f>IF(OR(E910="",D910=""),"",MAX(0,E910-D910))</f>
        <v/>
      </c>
      <c r="T910" t="inlineStr">
        <is>
          <t>No</t>
        </is>
      </c>
      <c r="U910" t="n">
        <v>22</v>
      </c>
      <c r="V910" t="inlineStr">
        <is>
          <t>Pending</t>
        </is>
      </c>
      <c r="W910" t="n">
        <v>4</v>
      </c>
      <c r="X910" t="inlineStr">
        <is>
          <t>Damaged Package</t>
        </is>
      </c>
    </row>
    <row r="911">
      <c r="A911" t="inlineStr">
        <is>
          <t>ORD-2026-00910</t>
        </is>
      </c>
      <c r="B911" t="inlineStr">
        <is>
          <t>CUST-0204</t>
        </is>
      </c>
      <c r="C911" s="3" t="n">
        <v>46109</v>
      </c>
      <c r="D911" s="3" t="n">
        <v>46115</v>
      </c>
      <c r="E911" s="3" t="n">
        <v>46125</v>
      </c>
      <c r="F911" t="inlineStr">
        <is>
          <t>Hyderabad</t>
        </is>
      </c>
      <c r="G911" t="inlineStr">
        <is>
          <t>Kolkata</t>
        </is>
      </c>
      <c r="H911" t="inlineStr">
        <is>
          <t>FedEx</t>
        </is>
      </c>
      <c r="I911" t="inlineStr">
        <is>
          <t>Truck</t>
        </is>
      </c>
      <c r="J911" t="inlineStr">
        <is>
          <t>Normal</t>
        </is>
      </c>
      <c r="K911" t="inlineStr">
        <is>
          <t>Delivered</t>
        </is>
      </c>
      <c r="L911" t="n">
        <v>699.39</v>
      </c>
      <c r="M911" t="n">
        <v>2594</v>
      </c>
      <c r="N911" t="n">
        <v>27.35</v>
      </c>
      <c r="O911" t="n">
        <v>3240.08</v>
      </c>
      <c r="P911" t="n">
        <v>1447.51</v>
      </c>
      <c r="Q911">
        <f>ROUND(L911*M911*N911/1000+O911+P911,2)</f>
        <v/>
      </c>
      <c r="R911" t="inlineStr">
        <is>
          <t>No</t>
        </is>
      </c>
      <c r="S911">
        <f>IF(OR(E911="",D911=""),"",MAX(0,E911-D911))</f>
        <v/>
      </c>
      <c r="T911" t="inlineStr">
        <is>
          <t>No</t>
        </is>
      </c>
      <c r="U911" t="n">
        <v>79</v>
      </c>
      <c r="V911" t="inlineStr">
        <is>
          <t>Paid</t>
        </is>
      </c>
      <c r="W911" t="n">
        <v>1</v>
      </c>
      <c r="X911" t="inlineStr">
        <is>
          <t>Customer Unavailable</t>
        </is>
      </c>
    </row>
    <row r="912">
      <c r="A912" t="inlineStr">
        <is>
          <t>ORD-2026-00911</t>
        </is>
      </c>
      <c r="B912" t="inlineStr">
        <is>
          <t>CUST-0151</t>
        </is>
      </c>
      <c r="C912" s="3" t="n">
        <v>46200</v>
      </c>
      <c r="D912" s="3" t="n">
        <v>46207</v>
      </c>
      <c r="E912" s="3" t="n"/>
      <c r="F912" t="inlineStr">
        <is>
          <t>Bengaluru</t>
        </is>
      </c>
      <c r="G912" t="inlineStr">
        <is>
          <t>Mumbai</t>
        </is>
      </c>
      <c r="H912" t="inlineStr">
        <is>
          <t>DHL</t>
        </is>
      </c>
      <c r="I912" t="inlineStr">
        <is>
          <t>Truck</t>
        </is>
      </c>
      <c r="J912" t="inlineStr">
        <is>
          <t>Low</t>
        </is>
      </c>
      <c r="K912" t="inlineStr">
        <is>
          <t>In Transit</t>
        </is>
      </c>
      <c r="L912" t="n">
        <v>2206.28</v>
      </c>
      <c r="M912" t="n">
        <v>180</v>
      </c>
      <c r="N912" t="n">
        <v>16.89</v>
      </c>
      <c r="O912" t="n">
        <v>324.71</v>
      </c>
      <c r="P912" t="n">
        <v>965.96</v>
      </c>
      <c r="Q912">
        <f>ROUND(L912*M912*N912/1000+O912+P912,2)</f>
        <v/>
      </c>
      <c r="R912" t="inlineStr">
        <is>
          <t>No</t>
        </is>
      </c>
      <c r="S912">
        <f>IF(OR(E912="",D912=""),"",MAX(0,E912-D912))</f>
        <v/>
      </c>
      <c r="T912" t="inlineStr">
        <is>
          <t>No</t>
        </is>
      </c>
      <c r="U912" t="n">
        <v>41</v>
      </c>
      <c r="V912" t="inlineStr">
        <is>
          <t>Paid</t>
        </is>
      </c>
      <c r="W912" t="n">
        <v>2</v>
      </c>
      <c r="X912" t="inlineStr">
        <is>
          <t>None</t>
        </is>
      </c>
    </row>
    <row r="913">
      <c r="A913" t="inlineStr">
        <is>
          <t>ORD-2026-00912</t>
        </is>
      </c>
      <c r="B913" t="inlineStr">
        <is>
          <t>CUST-0078</t>
        </is>
      </c>
      <c r="C913" s="3" t="n">
        <v>46105</v>
      </c>
      <c r="D913" s="3" t="n">
        <v>46111</v>
      </c>
      <c r="E913" s="3" t="n">
        <v>46111</v>
      </c>
      <c r="F913" t="inlineStr">
        <is>
          <t>Pune</t>
        </is>
      </c>
      <c r="G913" t="inlineStr">
        <is>
          <t>Surat</t>
        </is>
      </c>
      <c r="H913" t="inlineStr">
        <is>
          <t>DTDC</t>
        </is>
      </c>
      <c r="I913" t="inlineStr">
        <is>
          <t>Bike</t>
        </is>
      </c>
      <c r="J913" t="inlineStr">
        <is>
          <t>Critical</t>
        </is>
      </c>
      <c r="K913" t="inlineStr">
        <is>
          <t>Delivered</t>
        </is>
      </c>
      <c r="L913" t="n">
        <v>1583.73</v>
      </c>
      <c r="M913" t="n">
        <v>1748</v>
      </c>
      <c r="N913" t="n">
        <v>39.67</v>
      </c>
      <c r="O913" t="n">
        <v>4494.85</v>
      </c>
      <c r="P913" t="n">
        <v>168.55</v>
      </c>
      <c r="Q913">
        <f>ROUND(L913*M913*N913/1000+O913+P913,2)</f>
        <v/>
      </c>
      <c r="R913" t="inlineStr">
        <is>
          <t>Yes</t>
        </is>
      </c>
      <c r="S913">
        <f>IF(OR(E913="",D913=""),"",MAX(0,E913-D913))</f>
        <v/>
      </c>
      <c r="T913" t="inlineStr">
        <is>
          <t>No</t>
        </is>
      </c>
      <c r="U913" t="n">
        <v>76</v>
      </c>
      <c r="V913" t="inlineStr">
        <is>
          <t>Failed</t>
        </is>
      </c>
      <c r="W913" t="n">
        <v>2</v>
      </c>
      <c r="X913" t="inlineStr">
        <is>
          <t>Weather</t>
        </is>
      </c>
    </row>
    <row r="914">
      <c r="A914" t="inlineStr">
        <is>
          <t>ORD-2026-00913</t>
        </is>
      </c>
      <c r="B914" t="inlineStr">
        <is>
          <t>CUST-0094</t>
        </is>
      </c>
      <c r="C914" s="3" t="n">
        <v>46240</v>
      </c>
      <c r="D914" s="3" t="n">
        <v>46244</v>
      </c>
      <c r="E914" s="3" t="n">
        <v>46244</v>
      </c>
      <c r="F914" t="inlineStr">
        <is>
          <t>Surat</t>
        </is>
      </c>
      <c r="G914" t="inlineStr">
        <is>
          <t>Delhi</t>
        </is>
      </c>
      <c r="H914" t="inlineStr">
        <is>
          <t>FedEx</t>
        </is>
      </c>
      <c r="I914" t="inlineStr">
        <is>
          <t>Refrigerated Truck</t>
        </is>
      </c>
      <c r="J914" t="inlineStr">
        <is>
          <t>Normal</t>
        </is>
      </c>
      <c r="K914" t="inlineStr">
        <is>
          <t>Delivered</t>
        </is>
      </c>
      <c r="L914" t="n">
        <v>1972.17</v>
      </c>
      <c r="M914" t="n">
        <v>1203</v>
      </c>
      <c r="N914" t="n">
        <v>44.66</v>
      </c>
      <c r="O914" t="n">
        <v>4130.44</v>
      </c>
      <c r="P914" t="n">
        <v>29.42</v>
      </c>
      <c r="Q914">
        <f>ROUND(L914*M914*N914/1000+O914+P914,2)</f>
        <v/>
      </c>
      <c r="R914" t="inlineStr">
        <is>
          <t>Yes</t>
        </is>
      </c>
      <c r="S914">
        <f>IF(OR(E914="",D914=""),"",MAX(0,E914-D914))</f>
        <v/>
      </c>
      <c r="T914" t="inlineStr">
        <is>
          <t>Yes</t>
        </is>
      </c>
      <c r="U914" t="n">
        <v>68</v>
      </c>
      <c r="V914" t="inlineStr">
        <is>
          <t>Pending</t>
        </is>
      </c>
      <c r="W914" t="n">
        <v>2</v>
      </c>
      <c r="X914" t="inlineStr">
        <is>
          <t>Damaged Package</t>
        </is>
      </c>
    </row>
    <row r="915">
      <c r="A915" t="inlineStr">
        <is>
          <t>ORD-2026-00914</t>
        </is>
      </c>
      <c r="B915" t="inlineStr">
        <is>
          <t>CUST-0161</t>
        </is>
      </c>
      <c r="C915" s="3" t="n">
        <v>46162</v>
      </c>
      <c r="D915" s="3" t="n">
        <v>46164</v>
      </c>
      <c r="E915" s="3" t="n">
        <v>46166</v>
      </c>
      <c r="F915" t="inlineStr">
        <is>
          <t>Pune</t>
        </is>
      </c>
      <c r="G915" t="inlineStr">
        <is>
          <t>Kolkata</t>
        </is>
      </c>
      <c r="H915" t="inlineStr">
        <is>
          <t>BlueDart</t>
        </is>
      </c>
      <c r="I915" t="inlineStr">
        <is>
          <t>Van</t>
        </is>
      </c>
      <c r="J915" t="inlineStr">
        <is>
          <t>Critical</t>
        </is>
      </c>
      <c r="K915" t="inlineStr">
        <is>
          <t>Delivered</t>
        </is>
      </c>
      <c r="L915" t="n">
        <v>157.76</v>
      </c>
      <c r="M915" t="n">
        <v>824</v>
      </c>
      <c r="N915" t="n">
        <v>42.58</v>
      </c>
      <c r="O915" t="n">
        <v>457.87</v>
      </c>
      <c r="P915" t="n">
        <v>974.8200000000001</v>
      </c>
      <c r="Q915">
        <f>ROUND(L915*M915*N915/1000+O915+P915,2)</f>
        <v/>
      </c>
      <c r="R915" t="inlineStr">
        <is>
          <t>No</t>
        </is>
      </c>
      <c r="S915">
        <f>IF(OR(E915="",D915=""),"",MAX(0,E915-D915))</f>
        <v/>
      </c>
      <c r="T915" t="inlineStr">
        <is>
          <t>Yes</t>
        </is>
      </c>
      <c r="U915" t="n">
        <v>12</v>
      </c>
      <c r="V915" t="inlineStr">
        <is>
          <t>Pending</t>
        </is>
      </c>
      <c r="W915" t="n">
        <v>4</v>
      </c>
      <c r="X915" t="inlineStr">
        <is>
          <t>Vehicle Breakdown</t>
        </is>
      </c>
    </row>
    <row r="916">
      <c r="A916" t="inlineStr">
        <is>
          <t>ORD-2026-00915</t>
        </is>
      </c>
      <c r="B916" t="inlineStr">
        <is>
          <t>CUST-0023</t>
        </is>
      </c>
      <c r="C916" s="3" t="n">
        <v>46148</v>
      </c>
      <c r="D916" s="3" t="n">
        <v>46151</v>
      </c>
      <c r="E916" s="3" t="n">
        <v>46151</v>
      </c>
      <c r="F916" t="inlineStr">
        <is>
          <t>Jaipur</t>
        </is>
      </c>
      <c r="G916" t="inlineStr">
        <is>
          <t>Delhi</t>
        </is>
      </c>
      <c r="H916" t="inlineStr">
        <is>
          <t>Aramex</t>
        </is>
      </c>
      <c r="I916" t="inlineStr">
        <is>
          <t>Truck</t>
        </is>
      </c>
      <c r="J916" t="inlineStr">
        <is>
          <t>High</t>
        </is>
      </c>
      <c r="K916" t="inlineStr">
        <is>
          <t>Delivered</t>
        </is>
      </c>
      <c r="L916" t="n">
        <v>862.85</v>
      </c>
      <c r="M916" t="n">
        <v>2186</v>
      </c>
      <c r="N916" t="n">
        <v>17.41</v>
      </c>
      <c r="O916" t="n">
        <v>1914.48</v>
      </c>
      <c r="P916" t="n">
        <v>787.65</v>
      </c>
      <c r="Q916">
        <f>ROUND(L916*M916*N916/1000+O916+P916,2)</f>
        <v/>
      </c>
      <c r="R916" t="inlineStr">
        <is>
          <t>Yes</t>
        </is>
      </c>
      <c r="S916">
        <f>IF(OR(E916="",D916=""),"",MAX(0,E916-D916))</f>
        <v/>
      </c>
      <c r="T916" t="inlineStr">
        <is>
          <t>No</t>
        </is>
      </c>
      <c r="U916" t="n">
        <v>60</v>
      </c>
      <c r="V916" t="inlineStr">
        <is>
          <t>COD</t>
        </is>
      </c>
      <c r="W916" t="n">
        <v>3</v>
      </c>
      <c r="X916" t="inlineStr">
        <is>
          <t>Damaged Package</t>
        </is>
      </c>
    </row>
    <row r="917">
      <c r="A917" t="inlineStr">
        <is>
          <t>ORD-2026-00916</t>
        </is>
      </c>
      <c r="B917" t="inlineStr">
        <is>
          <t>CUST-0199</t>
        </is>
      </c>
      <c r="C917" s="3" t="n">
        <v>46115</v>
      </c>
      <c r="D917" s="3" t="n">
        <v>46120</v>
      </c>
      <c r="E917" s="3" t="n">
        <v>46120</v>
      </c>
      <c r="F917" t="inlineStr">
        <is>
          <t>Jaipur</t>
        </is>
      </c>
      <c r="G917" t="inlineStr">
        <is>
          <t>Chennai</t>
        </is>
      </c>
      <c r="H917" t="inlineStr">
        <is>
          <t>Maersk</t>
        </is>
      </c>
      <c r="I917" t="inlineStr">
        <is>
          <t>Bike</t>
        </is>
      </c>
      <c r="J917" t="inlineStr">
        <is>
          <t>Normal</t>
        </is>
      </c>
      <c r="K917" t="inlineStr">
        <is>
          <t>Delivered</t>
        </is>
      </c>
      <c r="L917" t="n">
        <v>2156.91</v>
      </c>
      <c r="M917" t="n">
        <v>138</v>
      </c>
      <c r="N917" t="n">
        <v>26.55</v>
      </c>
      <c r="O917" t="n">
        <v>530.4</v>
      </c>
      <c r="P917" t="n">
        <v>776.17</v>
      </c>
      <c r="Q917">
        <f>ROUND(L917*M917*N917/1000+O917+P917,2)</f>
        <v/>
      </c>
      <c r="R917" t="inlineStr">
        <is>
          <t>Yes</t>
        </is>
      </c>
      <c r="S917">
        <f>IF(OR(E917="",D917=""),"",MAX(0,E917-D917))</f>
        <v/>
      </c>
      <c r="T917" t="inlineStr">
        <is>
          <t>Yes</t>
        </is>
      </c>
      <c r="U917" t="n">
        <v>51</v>
      </c>
      <c r="V917" t="inlineStr">
        <is>
          <t>Paid</t>
        </is>
      </c>
      <c r="W917" t="n">
        <v>5</v>
      </c>
      <c r="X917" t="inlineStr">
        <is>
          <t>Customer Unavailable</t>
        </is>
      </c>
    </row>
    <row r="918">
      <c r="A918" t="inlineStr">
        <is>
          <t>ORD-2026-00917</t>
        </is>
      </c>
      <c r="B918" t="inlineStr">
        <is>
          <t>CUST-0187</t>
        </is>
      </c>
      <c r="C918" s="3" t="n">
        <v>46069</v>
      </c>
      <c r="D918" s="3" t="n">
        <v>46077</v>
      </c>
      <c r="E918" s="3" t="n">
        <v>46087</v>
      </c>
      <c r="F918" t="inlineStr">
        <is>
          <t>Bengaluru</t>
        </is>
      </c>
      <c r="G918" t="inlineStr">
        <is>
          <t>Kolkata</t>
        </is>
      </c>
      <c r="H918" t="inlineStr">
        <is>
          <t>Maersk</t>
        </is>
      </c>
      <c r="I918" t="inlineStr">
        <is>
          <t>Bike</t>
        </is>
      </c>
      <c r="J918" t="inlineStr">
        <is>
          <t>Normal</t>
        </is>
      </c>
      <c r="K918" t="inlineStr">
        <is>
          <t>Delivered</t>
        </is>
      </c>
      <c r="L918" t="n">
        <v>439.28</v>
      </c>
      <c r="M918" t="n">
        <v>1877</v>
      </c>
      <c r="N918" t="n">
        <v>47.19</v>
      </c>
      <c r="O918" t="n">
        <v>1630.28</v>
      </c>
      <c r="P918" t="n">
        <v>1185.07</v>
      </c>
      <c r="Q918">
        <f>ROUND(L918*M918*N918/1000+O918+P918,2)</f>
        <v/>
      </c>
      <c r="R918" t="inlineStr">
        <is>
          <t>No</t>
        </is>
      </c>
      <c r="S918">
        <f>IF(OR(E918="",D918=""),"",MAX(0,E918-D918))</f>
        <v/>
      </c>
      <c r="T918" t="inlineStr">
        <is>
          <t>Yes</t>
        </is>
      </c>
      <c r="U918" t="n">
        <v>42</v>
      </c>
      <c r="V918" t="inlineStr">
        <is>
          <t>Pending</t>
        </is>
      </c>
      <c r="W918" t="n">
        <v>2</v>
      </c>
      <c r="X918" t="inlineStr">
        <is>
          <t>Address Error</t>
        </is>
      </c>
    </row>
    <row r="919">
      <c r="A919" t="inlineStr">
        <is>
          <t>ORD-2026-00918</t>
        </is>
      </c>
      <c r="B919" t="inlineStr">
        <is>
          <t>CUST-0164</t>
        </is>
      </c>
      <c r="C919" s="3" t="n">
        <v>46170</v>
      </c>
      <c r="D919" s="3" t="n">
        <v>46174</v>
      </c>
      <c r="E919" s="3" t="n">
        <v>46176</v>
      </c>
      <c r="F919" t="inlineStr">
        <is>
          <t>Pune</t>
        </is>
      </c>
      <c r="G919" t="inlineStr">
        <is>
          <t>Bengaluru</t>
        </is>
      </c>
      <c r="H919" t="inlineStr">
        <is>
          <t>DTDC</t>
        </is>
      </c>
      <c r="I919" t="inlineStr">
        <is>
          <t>Bike</t>
        </is>
      </c>
      <c r="J919" t="inlineStr">
        <is>
          <t>Normal</t>
        </is>
      </c>
      <c r="K919" t="inlineStr">
        <is>
          <t>Delivered</t>
        </is>
      </c>
      <c r="L919" t="n">
        <v>2388.38</v>
      </c>
      <c r="M919" t="n">
        <v>1754</v>
      </c>
      <c r="N919" t="n">
        <v>53.57</v>
      </c>
      <c r="O919" t="n">
        <v>15582.32</v>
      </c>
      <c r="P919" t="n">
        <v>886.0599999999999</v>
      </c>
      <c r="Q919">
        <f>ROUND(L919*M919*N919/1000+O919+P919,2)</f>
        <v/>
      </c>
      <c r="R919" t="inlineStr">
        <is>
          <t>No</t>
        </is>
      </c>
      <c r="S919">
        <f>IF(OR(E919="",D919=""),"",MAX(0,E919-D919))</f>
        <v/>
      </c>
      <c r="T919" t="inlineStr">
        <is>
          <t>Yes</t>
        </is>
      </c>
      <c r="U919" t="n">
        <v>22</v>
      </c>
      <c r="V919" t="inlineStr">
        <is>
          <t>COD</t>
        </is>
      </c>
      <c r="W919" t="n">
        <v>3</v>
      </c>
      <c r="X919" t="inlineStr">
        <is>
          <t>Damaged Package</t>
        </is>
      </c>
    </row>
    <row r="920">
      <c r="A920" t="inlineStr">
        <is>
          <t>ORD-2026-00919</t>
        </is>
      </c>
      <c r="B920" t="inlineStr">
        <is>
          <t>CUST-0226</t>
        </is>
      </c>
      <c r="C920" s="3" t="n">
        <v>46085</v>
      </c>
      <c r="D920" s="3" t="n">
        <v>46089</v>
      </c>
      <c r="E920" s="3" t="n">
        <v>46089</v>
      </c>
      <c r="F920" t="inlineStr">
        <is>
          <t>Jaipur</t>
        </is>
      </c>
      <c r="G920" t="inlineStr">
        <is>
          <t>Bengaluru</t>
        </is>
      </c>
      <c r="H920" t="inlineStr">
        <is>
          <t>DHL</t>
        </is>
      </c>
      <c r="I920" t="inlineStr">
        <is>
          <t>Container</t>
        </is>
      </c>
      <c r="J920" t="inlineStr">
        <is>
          <t>High</t>
        </is>
      </c>
      <c r="K920" t="inlineStr">
        <is>
          <t>Delivered</t>
        </is>
      </c>
      <c r="L920" t="n">
        <v>667.3099999999999</v>
      </c>
      <c r="M920" t="n">
        <v>505</v>
      </c>
      <c r="N920" t="n">
        <v>35.88</v>
      </c>
      <c r="O920" t="n">
        <v>830.38</v>
      </c>
      <c r="P920" t="n">
        <v>1110.93</v>
      </c>
      <c r="Q920">
        <f>ROUND(L920*M920*N920/1000+O920+P920,2)</f>
        <v/>
      </c>
      <c r="R920" t="inlineStr">
        <is>
          <t>Yes</t>
        </is>
      </c>
      <c r="S920">
        <f>IF(OR(E920="",D920=""),"",MAX(0,E920-D920))</f>
        <v/>
      </c>
      <c r="T920" t="inlineStr">
        <is>
          <t>Yes</t>
        </is>
      </c>
      <c r="U920" t="n">
        <v>3</v>
      </c>
      <c r="V920" t="inlineStr">
        <is>
          <t>COD</t>
        </is>
      </c>
      <c r="W920" t="n">
        <v>3</v>
      </c>
      <c r="X920" t="inlineStr">
        <is>
          <t>Customer Unavailable</t>
        </is>
      </c>
    </row>
    <row r="921">
      <c r="A921" t="inlineStr">
        <is>
          <t>ORD-2026-00920</t>
        </is>
      </c>
      <c r="B921" t="inlineStr">
        <is>
          <t>CUST-0001</t>
        </is>
      </c>
      <c r="C921" s="3" t="n">
        <v>46087</v>
      </c>
      <c r="D921" s="3" t="n">
        <v>46095</v>
      </c>
      <c r="E921" s="3" t="n">
        <v>46096</v>
      </c>
      <c r="F921" t="inlineStr">
        <is>
          <t>Delhi</t>
        </is>
      </c>
      <c r="G921" t="inlineStr">
        <is>
          <t>Kolkata</t>
        </is>
      </c>
      <c r="H921" t="inlineStr">
        <is>
          <t>DHL</t>
        </is>
      </c>
      <c r="I921" t="inlineStr">
        <is>
          <t>Container</t>
        </is>
      </c>
      <c r="J921" t="inlineStr">
        <is>
          <t>Low</t>
        </is>
      </c>
      <c r="K921" t="inlineStr">
        <is>
          <t>Delivered</t>
        </is>
      </c>
      <c r="L921" t="n">
        <v>451.56</v>
      </c>
      <c r="M921" t="n">
        <v>1835</v>
      </c>
      <c r="N921" t="n">
        <v>42.41</v>
      </c>
      <c r="O921" t="n">
        <v>2842.12</v>
      </c>
      <c r="P921" t="n">
        <v>881.75</v>
      </c>
      <c r="Q921">
        <f>ROUND(L921*M921*N921/1000+O921+P921,2)</f>
        <v/>
      </c>
      <c r="R921" t="inlineStr">
        <is>
          <t>No</t>
        </is>
      </c>
      <c r="S921">
        <f>IF(OR(E921="",D921=""),"",MAX(0,E921-D921))</f>
        <v/>
      </c>
      <c r="T921" t="inlineStr">
        <is>
          <t>Yes</t>
        </is>
      </c>
      <c r="U921" t="n">
        <v>8</v>
      </c>
      <c r="V921" t="inlineStr">
        <is>
          <t>COD</t>
        </is>
      </c>
      <c r="W921" t="n">
        <v>2</v>
      </c>
      <c r="X921" t="inlineStr">
        <is>
          <t>Damaged Package</t>
        </is>
      </c>
    </row>
    <row r="922">
      <c r="A922" t="inlineStr">
        <is>
          <t>ORD-2026-00921</t>
        </is>
      </c>
      <c r="B922" t="inlineStr">
        <is>
          <t>CUST-0149</t>
        </is>
      </c>
      <c r="C922" s="3" t="n">
        <v>46175</v>
      </c>
      <c r="D922" s="3" t="n">
        <v>46183</v>
      </c>
      <c r="E922" s="3" t="n">
        <v>46185</v>
      </c>
      <c r="F922" t="inlineStr">
        <is>
          <t>Surat</t>
        </is>
      </c>
      <c r="G922" t="inlineStr">
        <is>
          <t>Surat</t>
        </is>
      </c>
      <c r="H922" t="inlineStr">
        <is>
          <t>DHL</t>
        </is>
      </c>
      <c r="I922" t="inlineStr">
        <is>
          <t>Truck</t>
        </is>
      </c>
      <c r="J922" t="inlineStr">
        <is>
          <t>Normal</t>
        </is>
      </c>
      <c r="K922" t="inlineStr">
        <is>
          <t>Delivered</t>
        </is>
      </c>
      <c r="L922" t="n">
        <v>1797.05</v>
      </c>
      <c r="M922" t="n">
        <v>882</v>
      </c>
      <c r="N922" t="n">
        <v>35.95</v>
      </c>
      <c r="O922" t="n">
        <v>4770.59</v>
      </c>
      <c r="P922" t="n">
        <v>503.78</v>
      </c>
      <c r="Q922">
        <f>ROUND(L922*M922*N922/1000+O922+P922,2)</f>
        <v/>
      </c>
      <c r="R922" t="inlineStr">
        <is>
          <t>No</t>
        </is>
      </c>
      <c r="S922">
        <f>IF(OR(E922="",D922=""),"",MAX(0,E922-D922))</f>
        <v/>
      </c>
      <c r="T922" t="inlineStr">
        <is>
          <t>Yes</t>
        </is>
      </c>
      <c r="U922" t="n">
        <v>13</v>
      </c>
      <c r="V922" t="inlineStr">
        <is>
          <t>Pending</t>
        </is>
      </c>
      <c r="W922" t="n">
        <v>3</v>
      </c>
      <c r="X922" t="inlineStr">
        <is>
          <t>Weather</t>
        </is>
      </c>
    </row>
    <row r="923">
      <c r="A923" t="inlineStr">
        <is>
          <t>ORD-2026-00922</t>
        </is>
      </c>
      <c r="B923" t="inlineStr">
        <is>
          <t>CUST-0176</t>
        </is>
      </c>
      <c r="C923" s="3" t="n">
        <v>46209</v>
      </c>
      <c r="D923" s="3" t="n">
        <v>46210</v>
      </c>
      <c r="E923" s="3" t="n">
        <v>46210</v>
      </c>
      <c r="F923" t="inlineStr">
        <is>
          <t>Jaipur</t>
        </is>
      </c>
      <c r="G923" t="inlineStr">
        <is>
          <t>Surat</t>
        </is>
      </c>
      <c r="H923" t="inlineStr">
        <is>
          <t>DTDC</t>
        </is>
      </c>
      <c r="I923" t="inlineStr">
        <is>
          <t>Bike</t>
        </is>
      </c>
      <c r="J923" t="inlineStr">
        <is>
          <t>Critical</t>
        </is>
      </c>
      <c r="K923" t="inlineStr">
        <is>
          <t>Delivered</t>
        </is>
      </c>
      <c r="L923" t="n">
        <v>2208.49</v>
      </c>
      <c r="M923" t="n">
        <v>1091</v>
      </c>
      <c r="N923" t="n">
        <v>51.38</v>
      </c>
      <c r="O923" t="n">
        <v>7345.78</v>
      </c>
      <c r="P923" t="n">
        <v>1220.03</v>
      </c>
      <c r="Q923">
        <f>ROUND(L923*M923*N923/1000+O923+P923,2)</f>
        <v/>
      </c>
      <c r="R923" t="inlineStr">
        <is>
          <t>Yes</t>
        </is>
      </c>
      <c r="S923">
        <f>IF(OR(E923="",D923=""),"",MAX(0,E923-D923))</f>
        <v/>
      </c>
      <c r="T923" t="inlineStr">
        <is>
          <t>No</t>
        </is>
      </c>
      <c r="U923" t="n">
        <v>27</v>
      </c>
      <c r="V923" t="inlineStr">
        <is>
          <t>COD</t>
        </is>
      </c>
      <c r="W923" t="n">
        <v>5</v>
      </c>
      <c r="X923" t="inlineStr">
        <is>
          <t>Vehicle Breakdown</t>
        </is>
      </c>
    </row>
    <row r="924">
      <c r="A924" t="inlineStr">
        <is>
          <t>ORD-2026-00923</t>
        </is>
      </c>
      <c r="B924" t="inlineStr">
        <is>
          <t>CUST-0237</t>
        </is>
      </c>
      <c r="C924" s="3" t="n">
        <v>46070</v>
      </c>
      <c r="D924" s="3" t="n">
        <v>46074</v>
      </c>
      <c r="E924" s="3" t="n">
        <v>46075</v>
      </c>
      <c r="F924" t="inlineStr">
        <is>
          <t>Chennai</t>
        </is>
      </c>
      <c r="G924" t="inlineStr">
        <is>
          <t>Mumbai</t>
        </is>
      </c>
      <c r="H924" t="inlineStr">
        <is>
          <t>Aramex</t>
        </is>
      </c>
      <c r="I924" t="inlineStr">
        <is>
          <t>Bike</t>
        </is>
      </c>
      <c r="J924" t="inlineStr">
        <is>
          <t>High</t>
        </is>
      </c>
      <c r="K924" t="inlineStr">
        <is>
          <t>Delivered</t>
        </is>
      </c>
      <c r="L924" t="n">
        <v>152.67</v>
      </c>
      <c r="M924" t="n">
        <v>170</v>
      </c>
      <c r="N924" t="n">
        <v>19.51</v>
      </c>
      <c r="O924" t="n">
        <v>23.64</v>
      </c>
      <c r="P924" t="n">
        <v>467.11</v>
      </c>
      <c r="Q924">
        <f>ROUND(L924*M924*N924/1000+O924+P924,2)</f>
        <v/>
      </c>
      <c r="R924" t="inlineStr">
        <is>
          <t>No</t>
        </is>
      </c>
      <c r="S924">
        <f>IF(OR(E924="",D924=""),"",MAX(0,E924-D924))</f>
        <v/>
      </c>
      <c r="T924" t="inlineStr">
        <is>
          <t>Yes</t>
        </is>
      </c>
      <c r="U924" t="n">
        <v>59</v>
      </c>
      <c r="V924" t="inlineStr">
        <is>
          <t>Paid</t>
        </is>
      </c>
      <c r="W924" t="n">
        <v>3</v>
      </c>
      <c r="X924" t="inlineStr">
        <is>
          <t>Customer Unavailable</t>
        </is>
      </c>
    </row>
    <row r="925">
      <c r="A925" t="inlineStr">
        <is>
          <t>ORD-2026-00924</t>
        </is>
      </c>
      <c r="B925" t="inlineStr">
        <is>
          <t>CUST-0200</t>
        </is>
      </c>
      <c r="C925" s="3" t="n">
        <v>46064</v>
      </c>
      <c r="D925" s="3" t="n">
        <v>46068</v>
      </c>
      <c r="E925" s="3" t="n">
        <v>46071</v>
      </c>
      <c r="F925" t="inlineStr">
        <is>
          <t>Kolkata</t>
        </is>
      </c>
      <c r="G925" t="inlineStr">
        <is>
          <t>Hyderabad</t>
        </is>
      </c>
      <c r="H925" t="inlineStr">
        <is>
          <t>Maersk</t>
        </is>
      </c>
      <c r="I925" t="inlineStr">
        <is>
          <t>Van</t>
        </is>
      </c>
      <c r="J925" t="inlineStr">
        <is>
          <t>Low</t>
        </is>
      </c>
      <c r="K925" t="inlineStr">
        <is>
          <t>Delivered</t>
        </is>
      </c>
      <c r="L925" t="n">
        <v>2321.38</v>
      </c>
      <c r="M925" t="n">
        <v>388</v>
      </c>
      <c r="N925" t="n">
        <v>9.300000000000001</v>
      </c>
      <c r="O925" t="n">
        <v>326.29</v>
      </c>
      <c r="P925" t="n">
        <v>874.24</v>
      </c>
      <c r="Q925">
        <f>ROUND(L925*M925*N925/1000+O925+P925,2)</f>
        <v/>
      </c>
      <c r="R925" t="inlineStr">
        <is>
          <t>No</t>
        </is>
      </c>
      <c r="S925">
        <f>IF(OR(E925="",D925=""),"",MAX(0,E925-D925))</f>
        <v/>
      </c>
      <c r="T925" t="inlineStr">
        <is>
          <t>No</t>
        </is>
      </c>
      <c r="U925" t="n">
        <v>26</v>
      </c>
      <c r="V925" t="inlineStr">
        <is>
          <t>Failed</t>
        </is>
      </c>
      <c r="W925" t="n">
        <v>3</v>
      </c>
      <c r="X925" t="inlineStr">
        <is>
          <t>Damaged Package</t>
        </is>
      </c>
    </row>
    <row r="926">
      <c r="A926" t="inlineStr">
        <is>
          <t>ORD-2026-00925</t>
        </is>
      </c>
      <c r="B926" t="inlineStr">
        <is>
          <t>CUST-0152</t>
        </is>
      </c>
      <c r="C926" s="3" t="n">
        <v>46211</v>
      </c>
      <c r="D926" s="3" t="n">
        <v>46215</v>
      </c>
      <c r="E926" s="3" t="n">
        <v>46215</v>
      </c>
      <c r="F926" t="inlineStr">
        <is>
          <t>Jaipur</t>
        </is>
      </c>
      <c r="G926" t="inlineStr">
        <is>
          <t>Mumbai</t>
        </is>
      </c>
      <c r="H926" t="inlineStr">
        <is>
          <t>DTDC</t>
        </is>
      </c>
      <c r="I926" t="inlineStr">
        <is>
          <t>Van</t>
        </is>
      </c>
      <c r="J926" t="inlineStr">
        <is>
          <t>Normal</t>
        </is>
      </c>
      <c r="K926" t="inlineStr">
        <is>
          <t>Delivered</t>
        </is>
      </c>
      <c r="L926" t="n">
        <v>2279.18</v>
      </c>
      <c r="M926" t="n">
        <v>2366</v>
      </c>
      <c r="N926" t="n">
        <v>31.69</v>
      </c>
      <c r="O926" t="n">
        <v>9946.76</v>
      </c>
      <c r="P926" t="n">
        <v>331.42</v>
      </c>
      <c r="Q926">
        <f>ROUND(L926*M926*N926/1000+O926+P926,2)</f>
        <v/>
      </c>
      <c r="R926" t="inlineStr">
        <is>
          <t>Yes</t>
        </is>
      </c>
      <c r="S926">
        <f>IF(OR(E926="",D926=""),"",MAX(0,E926-D926))</f>
        <v/>
      </c>
      <c r="T926" t="inlineStr">
        <is>
          <t>No</t>
        </is>
      </c>
      <c r="U926" t="n">
        <v>7</v>
      </c>
      <c r="V926" t="inlineStr">
        <is>
          <t>Pending</t>
        </is>
      </c>
      <c r="W926" t="n">
        <v>2</v>
      </c>
      <c r="X926" t="inlineStr">
        <is>
          <t>None</t>
        </is>
      </c>
    </row>
    <row r="927">
      <c r="A927" t="inlineStr">
        <is>
          <t>ORD-2026-00926</t>
        </is>
      </c>
      <c r="B927" t="inlineStr">
        <is>
          <t>CUST-0030</t>
        </is>
      </c>
      <c r="C927" s="3" t="n">
        <v>46076</v>
      </c>
      <c r="D927" s="3" t="n">
        <v>46079</v>
      </c>
      <c r="E927" s="3" t="n">
        <v>46079</v>
      </c>
      <c r="F927" t="inlineStr">
        <is>
          <t>Kolkata</t>
        </is>
      </c>
      <c r="G927" t="inlineStr">
        <is>
          <t>Mumbai</t>
        </is>
      </c>
      <c r="H927" t="inlineStr">
        <is>
          <t>BlueDart</t>
        </is>
      </c>
      <c r="I927" t="inlineStr">
        <is>
          <t>Van</t>
        </is>
      </c>
      <c r="J927" t="inlineStr">
        <is>
          <t>Critical</t>
        </is>
      </c>
      <c r="K927" t="inlineStr">
        <is>
          <t>Delivered</t>
        </is>
      </c>
      <c r="L927" t="n">
        <v>1751.15</v>
      </c>
      <c r="M927" t="n">
        <v>1890</v>
      </c>
      <c r="N927" t="n">
        <v>31.38</v>
      </c>
      <c r="O927" t="n">
        <v>7805.89</v>
      </c>
      <c r="P927" t="n">
        <v>226.66</v>
      </c>
      <c r="Q927">
        <f>ROUND(L927*M927*N927/1000+O927+P927,2)</f>
        <v/>
      </c>
      <c r="R927" t="inlineStr">
        <is>
          <t>Yes</t>
        </is>
      </c>
      <c r="S927">
        <f>IF(OR(E927="",D927=""),"",MAX(0,E927-D927))</f>
        <v/>
      </c>
      <c r="T927" t="inlineStr">
        <is>
          <t>No</t>
        </is>
      </c>
      <c r="U927" t="n">
        <v>14</v>
      </c>
      <c r="V927" t="inlineStr">
        <is>
          <t>Pending</t>
        </is>
      </c>
      <c r="W927" t="n">
        <v>2</v>
      </c>
      <c r="X927" t="inlineStr">
        <is>
          <t>None</t>
        </is>
      </c>
    </row>
    <row r="928">
      <c r="A928" t="inlineStr">
        <is>
          <t>ORD-2026-00927</t>
        </is>
      </c>
      <c r="B928" t="inlineStr">
        <is>
          <t>CUST-0160</t>
        </is>
      </c>
      <c r="C928" s="3" t="n">
        <v>46053</v>
      </c>
      <c r="D928" s="3" t="n">
        <v>46054</v>
      </c>
      <c r="E928" s="3" t="n">
        <v>46054</v>
      </c>
      <c r="F928" t="inlineStr">
        <is>
          <t>Bengaluru</t>
        </is>
      </c>
      <c r="G928" t="inlineStr">
        <is>
          <t>Ahmedabad</t>
        </is>
      </c>
      <c r="H928" t="inlineStr">
        <is>
          <t>FedEx</t>
        </is>
      </c>
      <c r="I928" t="inlineStr">
        <is>
          <t>Bike</t>
        </is>
      </c>
      <c r="J928" t="inlineStr">
        <is>
          <t>Normal</t>
        </is>
      </c>
      <c r="K928" t="inlineStr">
        <is>
          <t>Delivered</t>
        </is>
      </c>
      <c r="L928" t="n">
        <v>1654.46</v>
      </c>
      <c r="M928" t="n">
        <v>2172</v>
      </c>
      <c r="N928" t="n">
        <v>51.32</v>
      </c>
      <c r="O928" t="n">
        <v>15849.63</v>
      </c>
      <c r="P928" t="n">
        <v>312.97</v>
      </c>
      <c r="Q928">
        <f>ROUND(L928*M928*N928/1000+O928+P928,2)</f>
        <v/>
      </c>
      <c r="R928" t="inlineStr">
        <is>
          <t>Yes</t>
        </is>
      </c>
      <c r="S928">
        <f>IF(OR(E928="",D928=""),"",MAX(0,E928-D928))</f>
        <v/>
      </c>
      <c r="T928" t="inlineStr">
        <is>
          <t>No</t>
        </is>
      </c>
      <c r="U928" t="n">
        <v>49</v>
      </c>
      <c r="V928" t="inlineStr">
        <is>
          <t>COD</t>
        </is>
      </c>
      <c r="W928" t="n">
        <v>2</v>
      </c>
      <c r="X928" t="inlineStr">
        <is>
          <t>Customs</t>
        </is>
      </c>
    </row>
    <row r="929">
      <c r="A929" t="inlineStr">
        <is>
          <t>ORD-2026-00928</t>
        </is>
      </c>
      <c r="B929" t="inlineStr">
        <is>
          <t>CUST-0026</t>
        </is>
      </c>
      <c r="C929" s="3" t="n">
        <v>46026</v>
      </c>
      <c r="D929" s="3" t="n">
        <v>46029</v>
      </c>
      <c r="E929" s="3" t="n">
        <v>46029</v>
      </c>
      <c r="F929" t="inlineStr">
        <is>
          <t>Mumbai</t>
        </is>
      </c>
      <c r="G929" t="inlineStr">
        <is>
          <t>Pune</t>
        </is>
      </c>
      <c r="H929" t="inlineStr">
        <is>
          <t>BlueDart</t>
        </is>
      </c>
      <c r="I929" t="inlineStr">
        <is>
          <t>Bike</t>
        </is>
      </c>
      <c r="J929" t="inlineStr">
        <is>
          <t>Critical</t>
        </is>
      </c>
      <c r="K929" t="inlineStr">
        <is>
          <t>Delivered</t>
        </is>
      </c>
      <c r="L929" t="n">
        <v>2028.24</v>
      </c>
      <c r="M929" t="n">
        <v>2138</v>
      </c>
      <c r="N929" t="n">
        <v>13.91</v>
      </c>
      <c r="O929" t="n">
        <v>4575.9</v>
      </c>
      <c r="P929" t="n">
        <v>437.43</v>
      </c>
      <c r="Q929">
        <f>ROUND(L929*M929*N929/1000+O929+P929,2)</f>
        <v/>
      </c>
      <c r="R929" t="inlineStr">
        <is>
          <t>Yes</t>
        </is>
      </c>
      <c r="S929">
        <f>IF(OR(E929="",D929=""),"",MAX(0,E929-D929))</f>
        <v/>
      </c>
      <c r="T929" t="inlineStr">
        <is>
          <t>Yes</t>
        </is>
      </c>
      <c r="U929" t="n">
        <v>44</v>
      </c>
      <c r="V929" t="inlineStr">
        <is>
          <t>Paid</t>
        </is>
      </c>
      <c r="W929" t="n">
        <v>5</v>
      </c>
      <c r="X929" t="inlineStr">
        <is>
          <t>Damaged Package</t>
        </is>
      </c>
    </row>
    <row r="930">
      <c r="A930" t="inlineStr">
        <is>
          <t>ORD-2026-00929</t>
        </is>
      </c>
      <c r="B930" t="inlineStr">
        <is>
          <t>CUST-0090</t>
        </is>
      </c>
      <c r="C930" s="3" t="n">
        <v>46106</v>
      </c>
      <c r="D930" s="3" t="n">
        <v>46109</v>
      </c>
      <c r="E930" s="3" t="n">
        <v>46109</v>
      </c>
      <c r="F930" t="inlineStr">
        <is>
          <t>Chennai</t>
        </is>
      </c>
      <c r="G930" t="inlineStr">
        <is>
          <t>Mumbai</t>
        </is>
      </c>
      <c r="H930" t="inlineStr">
        <is>
          <t>Aramex</t>
        </is>
      </c>
      <c r="I930" t="inlineStr">
        <is>
          <t>Van</t>
        </is>
      </c>
      <c r="J930" t="inlineStr">
        <is>
          <t>Normal</t>
        </is>
      </c>
      <c r="K930" t="inlineStr">
        <is>
          <t>Delivered</t>
        </is>
      </c>
      <c r="L930" t="n">
        <v>322.45</v>
      </c>
      <c r="M930" t="n">
        <v>2427</v>
      </c>
      <c r="N930" t="n">
        <v>19.04</v>
      </c>
      <c r="O930" t="n">
        <v>1204.14</v>
      </c>
      <c r="P930" t="n">
        <v>1491.96</v>
      </c>
      <c r="Q930">
        <f>ROUND(L930*M930*N930/1000+O930+P930,2)</f>
        <v/>
      </c>
      <c r="R930" t="inlineStr">
        <is>
          <t>Yes</t>
        </is>
      </c>
      <c r="S930">
        <f>IF(OR(E930="",D930=""),"",MAX(0,E930-D930))</f>
        <v/>
      </c>
      <c r="T930" t="inlineStr">
        <is>
          <t>No</t>
        </is>
      </c>
      <c r="U930" t="n">
        <v>17</v>
      </c>
      <c r="V930" t="inlineStr">
        <is>
          <t>Failed</t>
        </is>
      </c>
      <c r="W930" t="n">
        <v>1</v>
      </c>
      <c r="X930" t="inlineStr">
        <is>
          <t>Customer Unavailable</t>
        </is>
      </c>
    </row>
    <row r="931">
      <c r="A931" t="inlineStr">
        <is>
          <t>ORD-2026-00930</t>
        </is>
      </c>
      <c r="B931" t="inlineStr">
        <is>
          <t>CUST-0100</t>
        </is>
      </c>
      <c r="C931" s="3" t="n">
        <v>46047</v>
      </c>
      <c r="D931" s="3" t="n">
        <v>46051</v>
      </c>
      <c r="E931" s="3" t="n">
        <v>46061</v>
      </c>
      <c r="F931" t="inlineStr">
        <is>
          <t>Pune</t>
        </is>
      </c>
      <c r="G931" t="inlineStr">
        <is>
          <t>Delhi</t>
        </is>
      </c>
      <c r="H931" t="inlineStr">
        <is>
          <t>DHL</t>
        </is>
      </c>
      <c r="I931" t="inlineStr">
        <is>
          <t>Van</t>
        </is>
      </c>
      <c r="J931" t="inlineStr">
        <is>
          <t>High</t>
        </is>
      </c>
      <c r="K931" t="inlineStr">
        <is>
          <t>Delivered</t>
        </is>
      </c>
      <c r="L931" t="n">
        <v>689.02</v>
      </c>
      <c r="M931" t="n">
        <v>1741</v>
      </c>
      <c r="N931" t="n">
        <v>61.3</v>
      </c>
      <c r="O931" t="n">
        <v>4631.33</v>
      </c>
      <c r="P931" t="n">
        <v>818.67</v>
      </c>
      <c r="Q931">
        <f>ROUND(L931*M931*N931/1000+O931+P931,2)</f>
        <v/>
      </c>
      <c r="R931" t="inlineStr">
        <is>
          <t>No</t>
        </is>
      </c>
      <c r="S931">
        <f>IF(OR(E931="",D931=""),"",MAX(0,E931-D931))</f>
        <v/>
      </c>
      <c r="T931" t="inlineStr">
        <is>
          <t>Yes</t>
        </is>
      </c>
      <c r="U931" t="n">
        <v>20</v>
      </c>
      <c r="V931" t="inlineStr">
        <is>
          <t>Paid</t>
        </is>
      </c>
      <c r="W931" t="n">
        <v>2</v>
      </c>
      <c r="X931" t="inlineStr">
        <is>
          <t>Weather</t>
        </is>
      </c>
    </row>
    <row r="932">
      <c r="A932" t="inlineStr">
        <is>
          <t>ORD-2026-00931</t>
        </is>
      </c>
      <c r="B932" t="inlineStr">
        <is>
          <t>CUST-0016</t>
        </is>
      </c>
      <c r="C932" s="3" t="n">
        <v>46036</v>
      </c>
      <c r="D932" s="3" t="n">
        <v>46043</v>
      </c>
      <c r="E932" s="3" t="n">
        <v>46043</v>
      </c>
      <c r="F932" t="inlineStr">
        <is>
          <t>Jaipur</t>
        </is>
      </c>
      <c r="G932" t="inlineStr">
        <is>
          <t>Mumbai</t>
        </is>
      </c>
      <c r="H932" t="inlineStr">
        <is>
          <t>Delhivery</t>
        </is>
      </c>
      <c r="I932" t="inlineStr">
        <is>
          <t>Container</t>
        </is>
      </c>
      <c r="J932" t="inlineStr">
        <is>
          <t>Low</t>
        </is>
      </c>
      <c r="K932" t="inlineStr">
        <is>
          <t>Delivered</t>
        </is>
      </c>
      <c r="L932" t="n">
        <v>1198.54</v>
      </c>
      <c r="M932" t="n">
        <v>2288</v>
      </c>
      <c r="N932" t="n">
        <v>36.21</v>
      </c>
      <c r="O932" t="n">
        <v>3338.23</v>
      </c>
      <c r="P932" t="n">
        <v>906.62</v>
      </c>
      <c r="Q932">
        <f>ROUND(L932*M932*N932/1000+O932+P932,2)</f>
        <v/>
      </c>
      <c r="R932" t="inlineStr">
        <is>
          <t>Yes</t>
        </is>
      </c>
      <c r="S932">
        <f>IF(OR(E932="",D932=""),"",MAX(0,E932-D932))</f>
        <v/>
      </c>
      <c r="T932" t="inlineStr">
        <is>
          <t>No</t>
        </is>
      </c>
      <c r="U932" t="n">
        <v>30</v>
      </c>
      <c r="V932" t="inlineStr">
        <is>
          <t>Pending</t>
        </is>
      </c>
      <c r="W932" t="n">
        <v>2</v>
      </c>
      <c r="X932" t="inlineStr">
        <is>
          <t>Customer Unavailable</t>
        </is>
      </c>
    </row>
    <row r="933">
      <c r="A933" t="inlineStr">
        <is>
          <t>ORD-2026-00932</t>
        </is>
      </c>
      <c r="B933" t="inlineStr">
        <is>
          <t>CUST-0074</t>
        </is>
      </c>
      <c r="C933" s="3" t="n">
        <v>46095</v>
      </c>
      <c r="D933" s="3" t="n">
        <v>46097</v>
      </c>
      <c r="E933" s="3" t="n">
        <v>46097</v>
      </c>
      <c r="F933" t="inlineStr">
        <is>
          <t>Ahmedabad</t>
        </is>
      </c>
      <c r="G933" t="inlineStr">
        <is>
          <t>Bengaluru</t>
        </is>
      </c>
      <c r="H933" t="inlineStr">
        <is>
          <t>BlueDart</t>
        </is>
      </c>
      <c r="I933" t="inlineStr">
        <is>
          <t>Van</t>
        </is>
      </c>
      <c r="J933" t="inlineStr">
        <is>
          <t>Low</t>
        </is>
      </c>
      <c r="K933" t="inlineStr">
        <is>
          <t>Delivered</t>
        </is>
      </c>
      <c r="L933" t="n">
        <v>2160.21</v>
      </c>
      <c r="M933" t="n">
        <v>2592</v>
      </c>
      <c r="N933" t="n">
        <v>44.6</v>
      </c>
      <c r="O933" t="n">
        <v>10815.74</v>
      </c>
      <c r="P933" t="n">
        <v>1071.29</v>
      </c>
      <c r="Q933">
        <f>ROUND(L933*M933*N933/1000+O933+P933,2)</f>
        <v/>
      </c>
      <c r="R933" t="inlineStr">
        <is>
          <t>Yes</t>
        </is>
      </c>
      <c r="S933">
        <f>IF(OR(E933="",D933=""),"",MAX(0,E933-D933))</f>
        <v/>
      </c>
      <c r="T933" t="inlineStr">
        <is>
          <t>No</t>
        </is>
      </c>
      <c r="U933" t="n">
        <v>52</v>
      </c>
      <c r="V933" t="inlineStr">
        <is>
          <t>Failed</t>
        </is>
      </c>
      <c r="W933" t="n">
        <v>5</v>
      </c>
      <c r="X933" t="inlineStr">
        <is>
          <t>Customer Unavailable</t>
        </is>
      </c>
    </row>
    <row r="934">
      <c r="A934" t="inlineStr">
        <is>
          <t>ORD-2026-00933</t>
        </is>
      </c>
      <c r="B934" t="inlineStr">
        <is>
          <t>CUST-0090</t>
        </is>
      </c>
      <c r="C934" s="3" t="n">
        <v>46186</v>
      </c>
      <c r="D934" s="3" t="n">
        <v>46194</v>
      </c>
      <c r="E934" s="3" t="n">
        <v>46194</v>
      </c>
      <c r="F934" t="inlineStr">
        <is>
          <t>Hyderabad</t>
        </is>
      </c>
      <c r="G934" t="inlineStr">
        <is>
          <t>Pune</t>
        </is>
      </c>
      <c r="H934" t="inlineStr">
        <is>
          <t>Delhivery</t>
        </is>
      </c>
      <c r="I934" t="inlineStr">
        <is>
          <t>Truck</t>
        </is>
      </c>
      <c r="J934" t="inlineStr">
        <is>
          <t>Normal</t>
        </is>
      </c>
      <c r="K934" t="inlineStr">
        <is>
          <t>Delivered</t>
        </is>
      </c>
      <c r="L934" t="n">
        <v>770.99</v>
      </c>
      <c r="M934" t="n">
        <v>270</v>
      </c>
      <c r="N934" t="n">
        <v>29.14</v>
      </c>
      <c r="O934" t="n">
        <v>396.76</v>
      </c>
      <c r="P934" t="n">
        <v>1172</v>
      </c>
      <c r="Q934">
        <f>ROUND(L934*M934*N934/1000+O934+P934,2)</f>
        <v/>
      </c>
      <c r="R934" t="inlineStr">
        <is>
          <t>Yes</t>
        </is>
      </c>
      <c r="S934">
        <f>IF(OR(E934="",D934=""),"",MAX(0,E934-D934))</f>
        <v/>
      </c>
      <c r="T934" t="inlineStr">
        <is>
          <t>No</t>
        </is>
      </c>
      <c r="U934" t="n">
        <v>62</v>
      </c>
      <c r="V934" t="inlineStr">
        <is>
          <t>Paid</t>
        </is>
      </c>
      <c r="W934" t="n">
        <v>2</v>
      </c>
      <c r="X934" t="inlineStr">
        <is>
          <t>Customer Unavailable</t>
        </is>
      </c>
    </row>
    <row r="935">
      <c r="A935" t="inlineStr">
        <is>
          <t>ORD-2026-00934</t>
        </is>
      </c>
      <c r="B935" t="inlineStr">
        <is>
          <t>CUST-0007</t>
        </is>
      </c>
      <c r="C935" s="3" t="n">
        <v>46230</v>
      </c>
      <c r="D935" s="3" t="n">
        <v>46235</v>
      </c>
      <c r="E935" s="3" t="n"/>
      <c r="F935" t="inlineStr">
        <is>
          <t>Chennai</t>
        </is>
      </c>
      <c r="G935" t="inlineStr">
        <is>
          <t>Surat</t>
        </is>
      </c>
      <c r="H935" t="inlineStr">
        <is>
          <t>DHL</t>
        </is>
      </c>
      <c r="I935" t="inlineStr">
        <is>
          <t>Van</t>
        </is>
      </c>
      <c r="J935" t="inlineStr">
        <is>
          <t>Critical</t>
        </is>
      </c>
      <c r="K935" t="inlineStr">
        <is>
          <t>In Transit</t>
        </is>
      </c>
      <c r="L935" t="n">
        <v>1387.58</v>
      </c>
      <c r="M935" t="n">
        <v>490</v>
      </c>
      <c r="N935" t="n">
        <v>53.44</v>
      </c>
      <c r="O935" t="n">
        <v>2211</v>
      </c>
      <c r="P935" t="n">
        <v>77.31999999999999</v>
      </c>
      <c r="Q935">
        <f>ROUND(L935*M935*N935/1000+O935+P935,2)</f>
        <v/>
      </c>
      <c r="R935" t="inlineStr">
        <is>
          <t>No</t>
        </is>
      </c>
      <c r="S935">
        <f>IF(OR(E935="",D935=""),"",MAX(0,E935-D935))</f>
        <v/>
      </c>
      <c r="T935" t="inlineStr">
        <is>
          <t>No</t>
        </is>
      </c>
      <c r="U935" t="n">
        <v>36</v>
      </c>
      <c r="V935" t="inlineStr">
        <is>
          <t>Paid</t>
        </is>
      </c>
      <c r="W935" t="n">
        <v>4</v>
      </c>
      <c r="X935" t="inlineStr">
        <is>
          <t>Address Error</t>
        </is>
      </c>
    </row>
    <row r="936">
      <c r="A936" t="inlineStr">
        <is>
          <t>ORD-2026-00935</t>
        </is>
      </c>
      <c r="B936" t="inlineStr">
        <is>
          <t>CUST-0223</t>
        </is>
      </c>
      <c r="C936" s="3" t="n">
        <v>46131</v>
      </c>
      <c r="D936" s="3" t="n">
        <v>46132</v>
      </c>
      <c r="E936" s="3" t="n">
        <v>46132</v>
      </c>
      <c r="F936" t="inlineStr">
        <is>
          <t>Mumbai</t>
        </is>
      </c>
      <c r="G936" t="inlineStr">
        <is>
          <t>Hyderabad</t>
        </is>
      </c>
      <c r="H936" t="inlineStr">
        <is>
          <t>Maersk</t>
        </is>
      </c>
      <c r="I936" t="inlineStr">
        <is>
          <t>Van</t>
        </is>
      </c>
      <c r="J936" t="inlineStr">
        <is>
          <t>Critical</t>
        </is>
      </c>
      <c r="K936" t="inlineStr">
        <is>
          <t>Delivered</t>
        </is>
      </c>
      <c r="L936" t="n">
        <v>2030.93</v>
      </c>
      <c r="M936" t="n">
        <v>2750</v>
      </c>
      <c r="N936" t="n">
        <v>28.88</v>
      </c>
      <c r="O936" t="n">
        <v>5878.31</v>
      </c>
      <c r="P936" t="n">
        <v>897.27</v>
      </c>
      <c r="Q936">
        <f>ROUND(L936*M936*N936/1000+O936+P936,2)</f>
        <v/>
      </c>
      <c r="R936" t="inlineStr">
        <is>
          <t>Yes</t>
        </is>
      </c>
      <c r="S936">
        <f>IF(OR(E936="",D936=""),"",MAX(0,E936-D936))</f>
        <v/>
      </c>
      <c r="T936" t="inlineStr">
        <is>
          <t>Yes</t>
        </is>
      </c>
      <c r="U936" t="n">
        <v>26</v>
      </c>
      <c r="V936" t="inlineStr">
        <is>
          <t>Paid</t>
        </is>
      </c>
      <c r="W936" t="n">
        <v>4</v>
      </c>
      <c r="X936" t="inlineStr">
        <is>
          <t>Weather</t>
        </is>
      </c>
    </row>
    <row r="937">
      <c r="A937" t="inlineStr">
        <is>
          <t>ORD-2026-00936</t>
        </is>
      </c>
      <c r="B937" t="inlineStr">
        <is>
          <t>CUST-0245</t>
        </is>
      </c>
      <c r="C937" s="3" t="n">
        <v>46049</v>
      </c>
      <c r="D937" s="3" t="n">
        <v>46053</v>
      </c>
      <c r="E937" s="3" t="n">
        <v>46053</v>
      </c>
      <c r="F937" t="inlineStr">
        <is>
          <t>Pune</t>
        </is>
      </c>
      <c r="G937" t="inlineStr">
        <is>
          <t>Jaipur</t>
        </is>
      </c>
      <c r="H937" t="inlineStr">
        <is>
          <t>FedEx</t>
        </is>
      </c>
      <c r="I937" t="inlineStr">
        <is>
          <t>Truck</t>
        </is>
      </c>
      <c r="J937" t="inlineStr">
        <is>
          <t>Critical</t>
        </is>
      </c>
      <c r="K937" t="inlineStr">
        <is>
          <t>Delivered</t>
        </is>
      </c>
      <c r="L937" t="n">
        <v>830.6799999999999</v>
      </c>
      <c r="M937" t="n">
        <v>200</v>
      </c>
      <c r="N937" t="n">
        <v>54.34</v>
      </c>
      <c r="O937" t="n">
        <v>426.69</v>
      </c>
      <c r="P937" t="n">
        <v>1455.55</v>
      </c>
      <c r="Q937">
        <f>ROUND(L937*M937*N937/1000+O937+P937,2)</f>
        <v/>
      </c>
      <c r="R937" t="inlineStr">
        <is>
          <t>Yes</t>
        </is>
      </c>
      <c r="S937">
        <f>IF(OR(E937="",D937=""),"",MAX(0,E937-D937))</f>
        <v/>
      </c>
      <c r="T937" t="inlineStr">
        <is>
          <t>Yes</t>
        </is>
      </c>
      <c r="U937" t="n">
        <v>15</v>
      </c>
      <c r="V937" t="inlineStr">
        <is>
          <t>Pending</t>
        </is>
      </c>
      <c r="W937" t="n">
        <v>1</v>
      </c>
      <c r="X937" t="inlineStr">
        <is>
          <t>None</t>
        </is>
      </c>
    </row>
    <row r="938">
      <c r="A938" t="inlineStr">
        <is>
          <t>ORD-2026-00937</t>
        </is>
      </c>
      <c r="B938" t="inlineStr">
        <is>
          <t>CUST-0128</t>
        </is>
      </c>
      <c r="C938" s="3" t="n">
        <v>46167</v>
      </c>
      <c r="D938" s="3" t="n">
        <v>46174</v>
      </c>
      <c r="E938" s="3" t="n">
        <v>46174</v>
      </c>
      <c r="F938" t="inlineStr">
        <is>
          <t>Ahmedabad</t>
        </is>
      </c>
      <c r="G938" t="inlineStr">
        <is>
          <t>Bengaluru</t>
        </is>
      </c>
      <c r="H938" t="inlineStr">
        <is>
          <t>BlueDart</t>
        </is>
      </c>
      <c r="I938" t="inlineStr">
        <is>
          <t>Bike</t>
        </is>
      </c>
      <c r="J938" t="inlineStr">
        <is>
          <t>Low</t>
        </is>
      </c>
      <c r="K938" t="inlineStr">
        <is>
          <t>Delivered</t>
        </is>
      </c>
      <c r="L938" t="n">
        <v>1320.54</v>
      </c>
      <c r="M938" t="n">
        <v>1460</v>
      </c>
      <c r="N938" t="n">
        <v>33.47</v>
      </c>
      <c r="O938" t="n">
        <v>4659.34</v>
      </c>
      <c r="P938" t="n">
        <v>902.3200000000001</v>
      </c>
      <c r="Q938">
        <f>ROUND(L938*M938*N938/1000+O938+P938,2)</f>
        <v/>
      </c>
      <c r="R938" t="inlineStr">
        <is>
          <t>Yes</t>
        </is>
      </c>
      <c r="S938">
        <f>IF(OR(E938="",D938=""),"",MAX(0,E938-D938))</f>
        <v/>
      </c>
      <c r="T938" t="inlineStr">
        <is>
          <t>No</t>
        </is>
      </c>
      <c r="U938" t="n">
        <v>26</v>
      </c>
      <c r="V938" t="inlineStr">
        <is>
          <t>Pending</t>
        </is>
      </c>
      <c r="W938" t="n">
        <v>5</v>
      </c>
      <c r="X938" t="inlineStr">
        <is>
          <t>Weather</t>
        </is>
      </c>
    </row>
    <row r="939">
      <c r="A939" t="inlineStr">
        <is>
          <t>ORD-2026-00938</t>
        </is>
      </c>
      <c r="B939" t="inlineStr">
        <is>
          <t>CUST-0135</t>
        </is>
      </c>
      <c r="C939" s="3" t="n">
        <v>46063</v>
      </c>
      <c r="D939" s="3" t="n">
        <v>46071</v>
      </c>
      <c r="E939" s="3" t="n">
        <v>46076</v>
      </c>
      <c r="F939" t="inlineStr">
        <is>
          <t>Bengaluru</t>
        </is>
      </c>
      <c r="G939" t="inlineStr">
        <is>
          <t>Delhi</t>
        </is>
      </c>
      <c r="H939" t="inlineStr">
        <is>
          <t>Maersk</t>
        </is>
      </c>
      <c r="I939" t="inlineStr">
        <is>
          <t>Container</t>
        </is>
      </c>
      <c r="J939" t="inlineStr">
        <is>
          <t>Low</t>
        </is>
      </c>
      <c r="K939" t="inlineStr">
        <is>
          <t>Delivered</t>
        </is>
      </c>
      <c r="L939" t="n">
        <v>2224.15</v>
      </c>
      <c r="M939" t="n">
        <v>1794</v>
      </c>
      <c r="N939" t="n">
        <v>54.92</v>
      </c>
      <c r="O939" t="n">
        <v>7611.97</v>
      </c>
      <c r="P939" t="n">
        <v>886.02</v>
      </c>
      <c r="Q939">
        <f>ROUND(L939*M939*N939/1000+O939+P939,2)</f>
        <v/>
      </c>
      <c r="R939" t="inlineStr">
        <is>
          <t>No</t>
        </is>
      </c>
      <c r="S939">
        <f>IF(OR(E939="",D939=""),"",MAX(0,E939-D939))</f>
        <v/>
      </c>
      <c r="T939" t="inlineStr">
        <is>
          <t>Yes</t>
        </is>
      </c>
      <c r="U939" t="n">
        <v>8</v>
      </c>
      <c r="V939" t="inlineStr">
        <is>
          <t>COD</t>
        </is>
      </c>
      <c r="W939" t="n">
        <v>4</v>
      </c>
      <c r="X939" t="inlineStr">
        <is>
          <t>Weather</t>
        </is>
      </c>
    </row>
    <row r="940">
      <c r="A940" t="inlineStr">
        <is>
          <t>ORD-2026-00939</t>
        </is>
      </c>
      <c r="B940" t="inlineStr">
        <is>
          <t>CUST-0171</t>
        </is>
      </c>
      <c r="C940" s="3" t="n">
        <v>46131</v>
      </c>
      <c r="D940" s="3" t="n">
        <v>46133</v>
      </c>
      <c r="E940" s="3" t="n">
        <v>46133</v>
      </c>
      <c r="F940" t="inlineStr">
        <is>
          <t>Jaipur</t>
        </is>
      </c>
      <c r="G940" t="inlineStr">
        <is>
          <t>Mumbai</t>
        </is>
      </c>
      <c r="H940" t="inlineStr">
        <is>
          <t>FedEx</t>
        </is>
      </c>
      <c r="I940" t="inlineStr">
        <is>
          <t>Van</t>
        </is>
      </c>
      <c r="J940" t="inlineStr">
        <is>
          <t>Low</t>
        </is>
      </c>
      <c r="K940" t="inlineStr">
        <is>
          <t>Delivered</t>
        </is>
      </c>
      <c r="L940" t="n">
        <v>1473.49</v>
      </c>
      <c r="M940" t="n">
        <v>282</v>
      </c>
      <c r="N940" t="n">
        <v>53.32</v>
      </c>
      <c r="O940" t="n">
        <v>731.91</v>
      </c>
      <c r="P940" t="n">
        <v>891</v>
      </c>
      <c r="Q940">
        <f>ROUND(L940*M940*N940/1000+O940+P940,2)</f>
        <v/>
      </c>
      <c r="R940" t="inlineStr">
        <is>
          <t>Yes</t>
        </is>
      </c>
      <c r="S940">
        <f>IF(OR(E940="",D940=""),"",MAX(0,E940-D940))</f>
        <v/>
      </c>
      <c r="T940" t="inlineStr">
        <is>
          <t>No</t>
        </is>
      </c>
      <c r="U940" t="n">
        <v>75</v>
      </c>
      <c r="V940" t="inlineStr">
        <is>
          <t>Pending</t>
        </is>
      </c>
      <c r="W940" t="n">
        <v>5</v>
      </c>
      <c r="X940" t="inlineStr">
        <is>
          <t>Customer Unavailable</t>
        </is>
      </c>
    </row>
    <row r="941">
      <c r="A941" t="inlineStr">
        <is>
          <t>ORD-2026-00940</t>
        </is>
      </c>
      <c r="B941" t="inlineStr">
        <is>
          <t>CUST-0171</t>
        </is>
      </c>
      <c r="C941" s="3" t="n">
        <v>46164</v>
      </c>
      <c r="D941" s="3" t="n">
        <v>46166</v>
      </c>
      <c r="E941" s="3" t="n">
        <v>46168</v>
      </c>
      <c r="F941" t="inlineStr">
        <is>
          <t>Mumbai</t>
        </is>
      </c>
      <c r="G941" t="inlineStr">
        <is>
          <t>Hyderabad</t>
        </is>
      </c>
      <c r="H941" t="inlineStr">
        <is>
          <t>Aramex</t>
        </is>
      </c>
      <c r="I941" t="inlineStr">
        <is>
          <t>Truck</t>
        </is>
      </c>
      <c r="J941" t="inlineStr">
        <is>
          <t>Low</t>
        </is>
      </c>
      <c r="K941" t="inlineStr">
        <is>
          <t>Delivered</t>
        </is>
      </c>
      <c r="L941" t="n">
        <v>1749.98</v>
      </c>
      <c r="M941" t="n">
        <v>2589</v>
      </c>
      <c r="N941" t="n">
        <v>47.7</v>
      </c>
      <c r="O941" t="n">
        <v>13928.6</v>
      </c>
      <c r="P941" t="n">
        <v>486.27</v>
      </c>
      <c r="Q941">
        <f>ROUND(L941*M941*N941/1000+O941+P941,2)</f>
        <v/>
      </c>
      <c r="R941" t="inlineStr">
        <is>
          <t>No</t>
        </is>
      </c>
      <c r="S941">
        <f>IF(OR(E941="",D941=""),"",MAX(0,E941-D941))</f>
        <v/>
      </c>
      <c r="T941" t="inlineStr">
        <is>
          <t>No</t>
        </is>
      </c>
      <c r="U941" t="n">
        <v>79</v>
      </c>
      <c r="V941" t="inlineStr">
        <is>
          <t>Paid</t>
        </is>
      </c>
      <c r="W941" t="n">
        <v>5</v>
      </c>
      <c r="X941" t="inlineStr">
        <is>
          <t>Vehicle Breakdown</t>
        </is>
      </c>
    </row>
    <row r="942">
      <c r="A942" t="inlineStr">
        <is>
          <t>ORD-2026-00941</t>
        </is>
      </c>
      <c r="B942" t="inlineStr">
        <is>
          <t>CUST-0152</t>
        </is>
      </c>
      <c r="C942" s="3" t="n">
        <v>46188</v>
      </c>
      <c r="D942" s="3" t="n">
        <v>46196</v>
      </c>
      <c r="E942" s="3" t="n">
        <v>46201</v>
      </c>
      <c r="F942" t="inlineStr">
        <is>
          <t>Jaipur</t>
        </is>
      </c>
      <c r="G942" t="inlineStr">
        <is>
          <t>Mumbai</t>
        </is>
      </c>
      <c r="H942" t="inlineStr">
        <is>
          <t>Aramex</t>
        </is>
      </c>
      <c r="I942" t="inlineStr">
        <is>
          <t>Container</t>
        </is>
      </c>
      <c r="J942" t="inlineStr">
        <is>
          <t>Critical</t>
        </is>
      </c>
      <c r="K942" t="inlineStr">
        <is>
          <t>Delivered</t>
        </is>
      </c>
      <c r="L942" t="n">
        <v>1515.47</v>
      </c>
      <c r="M942" t="n">
        <v>2023</v>
      </c>
      <c r="N942" t="n">
        <v>44.42</v>
      </c>
      <c r="O942" t="n">
        <v>9380.48</v>
      </c>
      <c r="P942" t="n">
        <v>314.02</v>
      </c>
      <c r="Q942">
        <f>ROUND(L942*M942*N942/1000+O942+P942,2)</f>
        <v/>
      </c>
      <c r="R942" t="inlineStr">
        <is>
          <t>No</t>
        </is>
      </c>
      <c r="S942">
        <f>IF(OR(E942="",D942=""),"",MAX(0,E942-D942))</f>
        <v/>
      </c>
      <c r="T942" t="inlineStr">
        <is>
          <t>No</t>
        </is>
      </c>
      <c r="U942" t="n">
        <v>14</v>
      </c>
      <c r="V942" t="inlineStr">
        <is>
          <t>Failed</t>
        </is>
      </c>
      <c r="W942" t="n">
        <v>4</v>
      </c>
      <c r="X942" t="inlineStr">
        <is>
          <t>None</t>
        </is>
      </c>
    </row>
    <row r="943">
      <c r="A943" t="inlineStr">
        <is>
          <t>ORD-2026-00942</t>
        </is>
      </c>
      <c r="B943" t="inlineStr">
        <is>
          <t>CUST-0083</t>
        </is>
      </c>
      <c r="C943" s="3" t="n">
        <v>46061</v>
      </c>
      <c r="D943" s="3" t="n">
        <v>46065</v>
      </c>
      <c r="E943" s="3" t="n">
        <v>46065</v>
      </c>
      <c r="F943" t="inlineStr">
        <is>
          <t>Chennai</t>
        </is>
      </c>
      <c r="G943" t="inlineStr">
        <is>
          <t>Delhi</t>
        </is>
      </c>
      <c r="H943" t="inlineStr">
        <is>
          <t>DHL</t>
        </is>
      </c>
      <c r="I943" t="inlineStr">
        <is>
          <t>Bike</t>
        </is>
      </c>
      <c r="J943" t="inlineStr">
        <is>
          <t>High</t>
        </is>
      </c>
      <c r="K943" t="inlineStr">
        <is>
          <t>Delivered</t>
        </is>
      </c>
      <c r="L943" t="n">
        <v>1212.81</v>
      </c>
      <c r="M943" t="n">
        <v>2343</v>
      </c>
      <c r="N943" t="n">
        <v>23.17</v>
      </c>
      <c r="O943" t="n">
        <v>2896.83</v>
      </c>
      <c r="P943" t="n">
        <v>277.81</v>
      </c>
      <c r="Q943">
        <f>ROUND(L943*M943*N943/1000+O943+P943,2)</f>
        <v/>
      </c>
      <c r="R943" t="inlineStr">
        <is>
          <t>Yes</t>
        </is>
      </c>
      <c r="S943">
        <f>IF(OR(E943="",D943=""),"",MAX(0,E943-D943))</f>
        <v/>
      </c>
      <c r="T943" t="inlineStr">
        <is>
          <t>Yes</t>
        </is>
      </c>
      <c r="U943" t="n">
        <v>79</v>
      </c>
      <c r="V943" t="inlineStr">
        <is>
          <t>Failed</t>
        </is>
      </c>
      <c r="W943" t="n">
        <v>1</v>
      </c>
      <c r="X943" t="inlineStr">
        <is>
          <t>None</t>
        </is>
      </c>
    </row>
    <row r="944">
      <c r="A944" t="inlineStr">
        <is>
          <t>ORD-2026-00943</t>
        </is>
      </c>
      <c r="B944" t="inlineStr">
        <is>
          <t>CUST-0118</t>
        </is>
      </c>
      <c r="C944" s="3" t="n">
        <v>46205</v>
      </c>
      <c r="D944" s="3" t="n">
        <v>46210</v>
      </c>
      <c r="E944" s="3" t="n">
        <v>46210</v>
      </c>
      <c r="F944" t="inlineStr">
        <is>
          <t>Surat</t>
        </is>
      </c>
      <c r="G944" t="inlineStr">
        <is>
          <t>Delhi</t>
        </is>
      </c>
      <c r="H944" t="inlineStr">
        <is>
          <t>BlueDart</t>
        </is>
      </c>
      <c r="I944" t="inlineStr">
        <is>
          <t>Van</t>
        </is>
      </c>
      <c r="J944" t="inlineStr">
        <is>
          <t>Critical</t>
        </is>
      </c>
      <c r="K944" t="inlineStr">
        <is>
          <t>Delivered</t>
        </is>
      </c>
      <c r="L944" t="n">
        <v>2470.12</v>
      </c>
      <c r="M944" t="n">
        <v>2709</v>
      </c>
      <c r="N944" t="n">
        <v>15.96</v>
      </c>
      <c r="O944" t="n">
        <v>4577.39</v>
      </c>
      <c r="P944" t="n">
        <v>95.45</v>
      </c>
      <c r="Q944">
        <f>ROUND(L944*M944*N944/1000+O944+P944,2)</f>
        <v/>
      </c>
      <c r="R944" t="inlineStr">
        <is>
          <t>Yes</t>
        </is>
      </c>
      <c r="S944">
        <f>IF(OR(E944="",D944=""),"",MAX(0,E944-D944))</f>
        <v/>
      </c>
      <c r="T944" t="inlineStr">
        <is>
          <t>Yes</t>
        </is>
      </c>
      <c r="U944" t="n">
        <v>21</v>
      </c>
      <c r="V944" t="inlineStr">
        <is>
          <t>Paid</t>
        </is>
      </c>
      <c r="W944" t="n">
        <v>3</v>
      </c>
      <c r="X944" t="inlineStr">
        <is>
          <t>None</t>
        </is>
      </c>
    </row>
    <row r="945">
      <c r="A945" t="inlineStr">
        <is>
          <t>ORD-2026-00944</t>
        </is>
      </c>
      <c r="B945" t="inlineStr">
        <is>
          <t>CUST-0150</t>
        </is>
      </c>
      <c r="C945" s="3" t="n">
        <v>46240</v>
      </c>
      <c r="D945" s="3" t="n">
        <v>46242</v>
      </c>
      <c r="E945" s="3" t="n">
        <v>46242</v>
      </c>
      <c r="F945" t="inlineStr">
        <is>
          <t>Jaipur</t>
        </is>
      </c>
      <c r="G945" t="inlineStr">
        <is>
          <t>Delhi</t>
        </is>
      </c>
      <c r="H945" t="inlineStr">
        <is>
          <t>BlueDart</t>
        </is>
      </c>
      <c r="I945" t="inlineStr">
        <is>
          <t>Van</t>
        </is>
      </c>
      <c r="J945" t="inlineStr">
        <is>
          <t>Critical</t>
        </is>
      </c>
      <c r="K945" t="inlineStr">
        <is>
          <t>Delivered</t>
        </is>
      </c>
      <c r="L945" t="n">
        <v>1877.44</v>
      </c>
      <c r="M945" t="n">
        <v>2346</v>
      </c>
      <c r="N945" t="n">
        <v>37.24</v>
      </c>
      <c r="O945" t="n">
        <v>9885.219999999999</v>
      </c>
      <c r="P945" t="n">
        <v>1489.72</v>
      </c>
      <c r="Q945">
        <f>ROUND(L945*M945*N945/1000+O945+P945,2)</f>
        <v/>
      </c>
      <c r="R945" t="inlineStr">
        <is>
          <t>Yes</t>
        </is>
      </c>
      <c r="S945">
        <f>IF(OR(E945="",D945=""),"",MAX(0,E945-D945))</f>
        <v/>
      </c>
      <c r="T945" t="inlineStr">
        <is>
          <t>Yes</t>
        </is>
      </c>
      <c r="U945" t="n">
        <v>69</v>
      </c>
      <c r="V945" t="inlineStr">
        <is>
          <t>COD</t>
        </is>
      </c>
      <c r="W945" t="n">
        <v>5</v>
      </c>
      <c r="X945" t="inlineStr">
        <is>
          <t>None</t>
        </is>
      </c>
    </row>
    <row r="946">
      <c r="A946" t="inlineStr">
        <is>
          <t>ORD-2026-00945</t>
        </is>
      </c>
      <c r="B946" t="inlineStr">
        <is>
          <t>CUST-0243</t>
        </is>
      </c>
      <c r="C946" s="3" t="n">
        <v>46231</v>
      </c>
      <c r="D946" s="3" t="n">
        <v>46233</v>
      </c>
      <c r="E946" s="3" t="n">
        <v>46243</v>
      </c>
      <c r="F946" t="inlineStr">
        <is>
          <t>Hyderabad</t>
        </is>
      </c>
      <c r="G946" t="inlineStr">
        <is>
          <t>Surat</t>
        </is>
      </c>
      <c r="H946" t="inlineStr">
        <is>
          <t>DTDC</t>
        </is>
      </c>
      <c r="I946" t="inlineStr">
        <is>
          <t>Truck</t>
        </is>
      </c>
      <c r="J946" t="inlineStr">
        <is>
          <t>Critical</t>
        </is>
      </c>
      <c r="K946" t="inlineStr">
        <is>
          <t>Delivered</t>
        </is>
      </c>
      <c r="L946" t="n">
        <v>2235.46</v>
      </c>
      <c r="M946" t="n">
        <v>1250</v>
      </c>
      <c r="N946" t="n">
        <v>38.5</v>
      </c>
      <c r="O946" t="n">
        <v>4264.85</v>
      </c>
      <c r="P946" t="n">
        <v>197.96</v>
      </c>
      <c r="Q946">
        <f>ROUND(L946*M946*N946/1000+O946+P946,2)</f>
        <v/>
      </c>
      <c r="R946" t="inlineStr">
        <is>
          <t>No</t>
        </is>
      </c>
      <c r="S946">
        <f>IF(OR(E946="",D946=""),"",MAX(0,E946-D946))</f>
        <v/>
      </c>
      <c r="T946" t="inlineStr">
        <is>
          <t>No</t>
        </is>
      </c>
      <c r="U946" t="n">
        <v>57</v>
      </c>
      <c r="V946" t="inlineStr">
        <is>
          <t>Paid</t>
        </is>
      </c>
      <c r="W946" t="n">
        <v>5</v>
      </c>
      <c r="X946" t="inlineStr">
        <is>
          <t>Address Error</t>
        </is>
      </c>
    </row>
    <row r="947">
      <c r="A947" t="inlineStr">
        <is>
          <t>ORD-2026-00946</t>
        </is>
      </c>
      <c r="B947" t="inlineStr">
        <is>
          <t>CUST-0098</t>
        </is>
      </c>
      <c r="C947" s="3" t="n">
        <v>46038</v>
      </c>
      <c r="D947" s="3" t="n">
        <v>46039</v>
      </c>
      <c r="E947" s="3" t="n"/>
      <c r="F947" t="inlineStr">
        <is>
          <t>Kolkata</t>
        </is>
      </c>
      <c r="G947" t="inlineStr">
        <is>
          <t>Mumbai</t>
        </is>
      </c>
      <c r="H947" t="inlineStr">
        <is>
          <t>FedEx</t>
        </is>
      </c>
      <c r="I947" t="inlineStr">
        <is>
          <t>Bike</t>
        </is>
      </c>
      <c r="J947" t="inlineStr">
        <is>
          <t>Critical</t>
        </is>
      </c>
      <c r="K947" t="inlineStr">
        <is>
          <t>Exception</t>
        </is>
      </c>
      <c r="L947" t="n">
        <v>800.84</v>
      </c>
      <c r="M947" t="n">
        <v>2735</v>
      </c>
      <c r="N947" t="n">
        <v>13.34</v>
      </c>
      <c r="O947" t="n">
        <v>2353.72</v>
      </c>
      <c r="P947" t="n">
        <v>1266.34</v>
      </c>
      <c r="Q947">
        <f>ROUND(L947*M947*N947/1000+O947+P947,2)</f>
        <v/>
      </c>
      <c r="R947" t="inlineStr">
        <is>
          <t>No</t>
        </is>
      </c>
      <c r="S947">
        <f>IF(OR(E947="",D947=""),"",MAX(0,E947-D947))</f>
        <v/>
      </c>
      <c r="T947" t="inlineStr">
        <is>
          <t>Yes</t>
        </is>
      </c>
      <c r="U947" t="n">
        <v>11</v>
      </c>
      <c r="V947" t="inlineStr">
        <is>
          <t>Pending</t>
        </is>
      </c>
      <c r="W947" t="n">
        <v>5</v>
      </c>
      <c r="X947" t="inlineStr">
        <is>
          <t>Weather</t>
        </is>
      </c>
    </row>
    <row r="948">
      <c r="A948" t="inlineStr">
        <is>
          <t>ORD-2026-00947</t>
        </is>
      </c>
      <c r="B948" t="inlineStr">
        <is>
          <t>CUST-0242</t>
        </is>
      </c>
      <c r="C948" s="3" t="n">
        <v>46195</v>
      </c>
      <c r="D948" s="3" t="n">
        <v>46200</v>
      </c>
      <c r="E948" s="3" t="n">
        <v>46202</v>
      </c>
      <c r="F948" t="inlineStr">
        <is>
          <t>Jaipur</t>
        </is>
      </c>
      <c r="G948" t="inlineStr">
        <is>
          <t>Ahmedabad</t>
        </is>
      </c>
      <c r="H948" t="inlineStr">
        <is>
          <t>FedEx</t>
        </is>
      </c>
      <c r="I948" t="inlineStr">
        <is>
          <t>Van</t>
        </is>
      </c>
      <c r="J948" t="inlineStr">
        <is>
          <t>High</t>
        </is>
      </c>
      <c r="K948" t="inlineStr">
        <is>
          <t>Delivered</t>
        </is>
      </c>
      <c r="L948" t="n">
        <v>1058.97</v>
      </c>
      <c r="M948" t="n">
        <v>2072</v>
      </c>
      <c r="N948" t="n">
        <v>16.57</v>
      </c>
      <c r="O948" t="n">
        <v>2674.92</v>
      </c>
      <c r="P948" t="n">
        <v>600.3099999999999</v>
      </c>
      <c r="Q948">
        <f>ROUND(L948*M948*N948/1000+O948+P948,2)</f>
        <v/>
      </c>
      <c r="R948" t="inlineStr">
        <is>
          <t>No</t>
        </is>
      </c>
      <c r="S948">
        <f>IF(OR(E948="",D948=""),"",MAX(0,E948-D948))</f>
        <v/>
      </c>
      <c r="T948" t="inlineStr">
        <is>
          <t>Yes</t>
        </is>
      </c>
      <c r="U948" t="n">
        <v>16</v>
      </c>
      <c r="V948" t="inlineStr">
        <is>
          <t>COD</t>
        </is>
      </c>
      <c r="W948" t="n">
        <v>1</v>
      </c>
      <c r="X948" t="inlineStr">
        <is>
          <t>Customer Unavailable</t>
        </is>
      </c>
    </row>
    <row r="949">
      <c r="A949" t="inlineStr">
        <is>
          <t>ORD-2026-00948</t>
        </is>
      </c>
      <c r="B949" t="inlineStr">
        <is>
          <t>CUST-0229</t>
        </is>
      </c>
      <c r="C949" s="3" t="n">
        <v>46171</v>
      </c>
      <c r="D949" s="3" t="n">
        <v>46178</v>
      </c>
      <c r="E949" s="3" t="n">
        <v>46178</v>
      </c>
      <c r="F949" t="inlineStr">
        <is>
          <t>Surat</t>
        </is>
      </c>
      <c r="G949" t="inlineStr">
        <is>
          <t>Surat</t>
        </is>
      </c>
      <c r="H949" t="inlineStr">
        <is>
          <t>DHL</t>
        </is>
      </c>
      <c r="I949" t="inlineStr">
        <is>
          <t>Refrigerated Truck</t>
        </is>
      </c>
      <c r="J949" t="inlineStr">
        <is>
          <t>Critical</t>
        </is>
      </c>
      <c r="K949" t="inlineStr">
        <is>
          <t>Delivered</t>
        </is>
      </c>
      <c r="L949" t="n">
        <v>1236.14</v>
      </c>
      <c r="M949" t="n">
        <v>2265</v>
      </c>
      <c r="N949" t="n">
        <v>44.61</v>
      </c>
      <c r="O949" t="n">
        <v>5073.72</v>
      </c>
      <c r="P949" t="n">
        <v>440.49</v>
      </c>
      <c r="Q949">
        <f>ROUND(L949*M949*N949/1000+O949+P949,2)</f>
        <v/>
      </c>
      <c r="R949" t="inlineStr">
        <is>
          <t>Yes</t>
        </is>
      </c>
      <c r="S949">
        <f>IF(OR(E949="",D949=""),"",MAX(0,E949-D949))</f>
        <v/>
      </c>
      <c r="T949" t="inlineStr">
        <is>
          <t>No</t>
        </is>
      </c>
      <c r="U949" t="n">
        <v>14</v>
      </c>
      <c r="V949" t="inlineStr">
        <is>
          <t>Failed</t>
        </is>
      </c>
      <c r="W949" t="n">
        <v>5</v>
      </c>
      <c r="X949" t="inlineStr">
        <is>
          <t>Customer Unavailable</t>
        </is>
      </c>
    </row>
    <row r="950">
      <c r="A950" t="inlineStr">
        <is>
          <t>ORD-2026-00949</t>
        </is>
      </c>
      <c r="B950" t="inlineStr">
        <is>
          <t>CUST-0099</t>
        </is>
      </c>
      <c r="C950" s="3" t="n">
        <v>46242</v>
      </c>
      <c r="D950" s="3" t="n">
        <v>46249</v>
      </c>
      <c r="E950" s="3" t="n">
        <v>46249</v>
      </c>
      <c r="F950" t="inlineStr">
        <is>
          <t>Surat</t>
        </is>
      </c>
      <c r="G950" t="inlineStr">
        <is>
          <t>Bengaluru</t>
        </is>
      </c>
      <c r="H950" t="inlineStr">
        <is>
          <t>Maersk</t>
        </is>
      </c>
      <c r="I950" t="inlineStr">
        <is>
          <t>Refrigerated Truck</t>
        </is>
      </c>
      <c r="J950" t="inlineStr">
        <is>
          <t>Critical</t>
        </is>
      </c>
      <c r="K950" t="inlineStr">
        <is>
          <t>Delivered</t>
        </is>
      </c>
      <c r="L950" t="n">
        <v>2211.98</v>
      </c>
      <c r="M950" t="n">
        <v>1732</v>
      </c>
      <c r="N950" t="n">
        <v>48.01</v>
      </c>
      <c r="O950" t="n">
        <v>8641.639999999999</v>
      </c>
      <c r="P950" t="n">
        <v>922.54</v>
      </c>
      <c r="Q950">
        <f>ROUND(L950*M950*N950/1000+O950+P950,2)</f>
        <v/>
      </c>
      <c r="R950" t="inlineStr">
        <is>
          <t>Yes</t>
        </is>
      </c>
      <c r="S950">
        <f>IF(OR(E950="",D950=""),"",MAX(0,E950-D950))</f>
        <v/>
      </c>
      <c r="T950" t="inlineStr">
        <is>
          <t>Yes</t>
        </is>
      </c>
      <c r="U950" t="n">
        <v>35</v>
      </c>
      <c r="V950" t="inlineStr">
        <is>
          <t>Failed</t>
        </is>
      </c>
      <c r="W950" t="n">
        <v>5</v>
      </c>
      <c r="X950" t="inlineStr">
        <is>
          <t>Vehicle Breakdown</t>
        </is>
      </c>
    </row>
    <row r="951">
      <c r="A951" t="inlineStr">
        <is>
          <t>ORD-2026-00950</t>
        </is>
      </c>
      <c r="B951" t="inlineStr">
        <is>
          <t>CUST-0195</t>
        </is>
      </c>
      <c r="C951" s="3" t="n">
        <v>46061</v>
      </c>
      <c r="D951" s="3" t="n">
        <v>46063</v>
      </c>
      <c r="E951" s="3" t="n">
        <v>46063</v>
      </c>
      <c r="F951" t="inlineStr">
        <is>
          <t>Bengaluru</t>
        </is>
      </c>
      <c r="G951" t="inlineStr">
        <is>
          <t>Chennai</t>
        </is>
      </c>
      <c r="H951" t="inlineStr">
        <is>
          <t>FedEx</t>
        </is>
      </c>
      <c r="I951" t="inlineStr">
        <is>
          <t>Bike</t>
        </is>
      </c>
      <c r="J951" t="inlineStr">
        <is>
          <t>Normal</t>
        </is>
      </c>
      <c r="K951" t="inlineStr">
        <is>
          <t>Delivered</t>
        </is>
      </c>
      <c r="L951" t="n">
        <v>845.38</v>
      </c>
      <c r="M951" t="n">
        <v>1585</v>
      </c>
      <c r="N951" t="n">
        <v>16.11</v>
      </c>
      <c r="O951" t="n">
        <v>1918.45</v>
      </c>
      <c r="P951" t="n">
        <v>546.25</v>
      </c>
      <c r="Q951">
        <f>ROUND(L951*M951*N951/1000+O951+P951,2)</f>
        <v/>
      </c>
      <c r="R951" t="inlineStr">
        <is>
          <t>Yes</t>
        </is>
      </c>
      <c r="S951">
        <f>IF(OR(E951="",D951=""),"",MAX(0,E951-D951))</f>
        <v/>
      </c>
      <c r="T951" t="inlineStr">
        <is>
          <t>Yes</t>
        </is>
      </c>
      <c r="U951" t="n">
        <v>65</v>
      </c>
      <c r="V951" t="inlineStr">
        <is>
          <t>Pending</t>
        </is>
      </c>
      <c r="W951" t="n">
        <v>3</v>
      </c>
      <c r="X951" t="inlineStr">
        <is>
          <t>Customs</t>
        </is>
      </c>
    </row>
    <row r="952">
      <c r="A952" t="inlineStr">
        <is>
          <t>ORD-2026-00951</t>
        </is>
      </c>
      <c r="B952" t="inlineStr">
        <is>
          <t>CUST-0135</t>
        </is>
      </c>
      <c r="C952" s="3" t="n">
        <v>46125</v>
      </c>
      <c r="D952" s="3" t="n">
        <v>46129</v>
      </c>
      <c r="E952" s="3" t="n">
        <v>46130</v>
      </c>
      <c r="F952" t="inlineStr">
        <is>
          <t>Jaipur</t>
        </is>
      </c>
      <c r="G952" t="inlineStr">
        <is>
          <t>Kolkata</t>
        </is>
      </c>
      <c r="H952" t="inlineStr">
        <is>
          <t>DTDC</t>
        </is>
      </c>
      <c r="I952" t="inlineStr">
        <is>
          <t>Van</t>
        </is>
      </c>
      <c r="J952" t="inlineStr">
        <is>
          <t>Critical</t>
        </is>
      </c>
      <c r="K952" t="inlineStr">
        <is>
          <t>Delivered</t>
        </is>
      </c>
      <c r="L952" t="n">
        <v>344.08</v>
      </c>
      <c r="M952" t="n">
        <v>1063</v>
      </c>
      <c r="N952" t="n">
        <v>30.53</v>
      </c>
      <c r="O952" t="n">
        <v>436.39</v>
      </c>
      <c r="P952" t="n">
        <v>1481.53</v>
      </c>
      <c r="Q952">
        <f>ROUND(L952*M952*N952/1000+O952+P952,2)</f>
        <v/>
      </c>
      <c r="R952" t="inlineStr">
        <is>
          <t>No</t>
        </is>
      </c>
      <c r="S952">
        <f>IF(OR(E952="",D952=""),"",MAX(0,E952-D952))</f>
        <v/>
      </c>
      <c r="T952" t="inlineStr">
        <is>
          <t>Yes</t>
        </is>
      </c>
      <c r="U952" t="n">
        <v>80</v>
      </c>
      <c r="V952" t="inlineStr">
        <is>
          <t>Paid</t>
        </is>
      </c>
      <c r="W952" t="n">
        <v>1</v>
      </c>
      <c r="X952" t="inlineStr">
        <is>
          <t>Vehicle Breakdown</t>
        </is>
      </c>
    </row>
    <row r="953">
      <c r="A953" t="inlineStr">
        <is>
          <t>ORD-2026-00952</t>
        </is>
      </c>
      <c r="B953" t="inlineStr">
        <is>
          <t>CUST-0209</t>
        </is>
      </c>
      <c r="C953" s="3" t="n">
        <v>46041</v>
      </c>
      <c r="D953" s="3" t="n">
        <v>46045</v>
      </c>
      <c r="E953" s="3" t="n">
        <v>46055</v>
      </c>
      <c r="F953" t="inlineStr">
        <is>
          <t>Delhi</t>
        </is>
      </c>
      <c r="G953" t="inlineStr">
        <is>
          <t>Bengaluru</t>
        </is>
      </c>
      <c r="H953" t="inlineStr">
        <is>
          <t>Maersk</t>
        </is>
      </c>
      <c r="I953" t="inlineStr">
        <is>
          <t>Container</t>
        </is>
      </c>
      <c r="J953" t="inlineStr">
        <is>
          <t>Low</t>
        </is>
      </c>
      <c r="K953" t="inlineStr">
        <is>
          <t>Delivered</t>
        </is>
      </c>
      <c r="L953" t="n">
        <v>2240.2</v>
      </c>
      <c r="M953" t="n">
        <v>1021</v>
      </c>
      <c r="N953" t="n">
        <v>28.39</v>
      </c>
      <c r="O953" t="n">
        <v>4891.51</v>
      </c>
      <c r="P953" t="n">
        <v>907.54</v>
      </c>
      <c r="Q953">
        <f>ROUND(L953*M953*N953/1000+O953+P953,2)</f>
        <v/>
      </c>
      <c r="R953" t="inlineStr">
        <is>
          <t>No</t>
        </is>
      </c>
      <c r="S953">
        <f>IF(OR(E953="",D953=""),"",MAX(0,E953-D953))</f>
        <v/>
      </c>
      <c r="T953" t="inlineStr">
        <is>
          <t>Yes</t>
        </is>
      </c>
      <c r="U953" t="n">
        <v>28</v>
      </c>
      <c r="V953" t="inlineStr">
        <is>
          <t>Failed</t>
        </is>
      </c>
      <c r="W953" t="n">
        <v>4</v>
      </c>
      <c r="X953" t="inlineStr">
        <is>
          <t>None</t>
        </is>
      </c>
    </row>
    <row r="954">
      <c r="A954" t="inlineStr">
        <is>
          <t>ORD-2026-00953</t>
        </is>
      </c>
      <c r="B954" t="inlineStr">
        <is>
          <t>CUST-0233</t>
        </is>
      </c>
      <c r="C954" s="3" t="n">
        <v>46110</v>
      </c>
      <c r="D954" s="3" t="n">
        <v>46113</v>
      </c>
      <c r="E954" s="3" t="n">
        <v>46116</v>
      </c>
      <c r="F954" t="inlineStr">
        <is>
          <t>Delhi</t>
        </is>
      </c>
      <c r="G954" t="inlineStr">
        <is>
          <t>Hyderabad</t>
        </is>
      </c>
      <c r="H954" t="inlineStr">
        <is>
          <t>FedEx</t>
        </is>
      </c>
      <c r="I954" t="inlineStr">
        <is>
          <t>Refrigerated Truck</t>
        </is>
      </c>
      <c r="J954" t="inlineStr">
        <is>
          <t>Critical</t>
        </is>
      </c>
      <c r="K954" t="inlineStr">
        <is>
          <t>Delayed</t>
        </is>
      </c>
      <c r="L954" t="n">
        <v>1390.96</v>
      </c>
      <c r="M954" t="n">
        <v>391</v>
      </c>
      <c r="N954" t="n">
        <v>30.83</v>
      </c>
      <c r="O954" t="n">
        <v>1287.49</v>
      </c>
      <c r="P954" t="n">
        <v>1056.49</v>
      </c>
      <c r="Q954">
        <f>ROUND(L954*M954*N954/1000+O954+P954,2)</f>
        <v/>
      </c>
      <c r="R954" t="inlineStr">
        <is>
          <t>No</t>
        </is>
      </c>
      <c r="S954">
        <f>IF(OR(E954="",D954=""),"",MAX(0,E954-D954))</f>
        <v/>
      </c>
      <c r="T954" t="inlineStr">
        <is>
          <t>Yes</t>
        </is>
      </c>
      <c r="U954" t="n">
        <v>34</v>
      </c>
      <c r="V954" t="inlineStr">
        <is>
          <t>Paid</t>
        </is>
      </c>
      <c r="W954" t="n">
        <v>5</v>
      </c>
      <c r="X954" t="inlineStr">
        <is>
          <t>None</t>
        </is>
      </c>
    </row>
    <row r="955">
      <c r="A955" t="inlineStr">
        <is>
          <t>ORD-2026-00954</t>
        </is>
      </c>
      <c r="B955" t="inlineStr">
        <is>
          <t>CUST-0017</t>
        </is>
      </c>
      <c r="C955" s="3" t="n">
        <v>46132</v>
      </c>
      <c r="D955" s="3" t="n">
        <v>46138</v>
      </c>
      <c r="E955" s="3" t="n">
        <v>46139</v>
      </c>
      <c r="F955" t="inlineStr">
        <is>
          <t>Jaipur</t>
        </is>
      </c>
      <c r="G955" t="inlineStr">
        <is>
          <t>Jaipur</t>
        </is>
      </c>
      <c r="H955" t="inlineStr">
        <is>
          <t>Maersk</t>
        </is>
      </c>
      <c r="I955" t="inlineStr">
        <is>
          <t>Van</t>
        </is>
      </c>
      <c r="J955" t="inlineStr">
        <is>
          <t>Normal</t>
        </is>
      </c>
      <c r="K955" t="inlineStr">
        <is>
          <t>Delivered</t>
        </is>
      </c>
      <c r="L955" t="n">
        <v>1742.69</v>
      </c>
      <c r="M955" t="n">
        <v>1125</v>
      </c>
      <c r="N955" t="n">
        <v>9.609999999999999</v>
      </c>
      <c r="O955" t="n">
        <v>1206.43</v>
      </c>
      <c r="P955" t="n">
        <v>615.0599999999999</v>
      </c>
      <c r="Q955">
        <f>ROUND(L955*M955*N955/1000+O955+P955,2)</f>
        <v/>
      </c>
      <c r="R955" t="inlineStr">
        <is>
          <t>No</t>
        </is>
      </c>
      <c r="S955">
        <f>IF(OR(E955="",D955=""),"",MAX(0,E955-D955))</f>
        <v/>
      </c>
      <c r="T955" t="inlineStr">
        <is>
          <t>No</t>
        </is>
      </c>
      <c r="U955" t="n">
        <v>77</v>
      </c>
      <c r="V955" t="inlineStr">
        <is>
          <t>Paid</t>
        </is>
      </c>
      <c r="W955" t="n">
        <v>5</v>
      </c>
      <c r="X955" t="inlineStr">
        <is>
          <t>Customs</t>
        </is>
      </c>
    </row>
    <row r="956">
      <c r="A956" t="inlineStr">
        <is>
          <t>ORD-2026-00955</t>
        </is>
      </c>
      <c r="B956" t="inlineStr">
        <is>
          <t>CUST-0218</t>
        </is>
      </c>
      <c r="C956" s="3" t="n">
        <v>46209</v>
      </c>
      <c r="D956" s="3" t="n">
        <v>46210</v>
      </c>
      <c r="E956" s="3" t="n">
        <v>46213</v>
      </c>
      <c r="F956" t="inlineStr">
        <is>
          <t>Mumbai</t>
        </is>
      </c>
      <c r="G956" t="inlineStr">
        <is>
          <t>Bengaluru</t>
        </is>
      </c>
      <c r="H956" t="inlineStr">
        <is>
          <t>Aramex</t>
        </is>
      </c>
      <c r="I956" t="inlineStr">
        <is>
          <t>Refrigerated Truck</t>
        </is>
      </c>
      <c r="J956" t="inlineStr">
        <is>
          <t>Normal</t>
        </is>
      </c>
      <c r="K956" t="inlineStr">
        <is>
          <t>Delivered</t>
        </is>
      </c>
      <c r="L956" t="n">
        <v>1378.11</v>
      </c>
      <c r="M956" t="n">
        <v>401</v>
      </c>
      <c r="N956" t="n">
        <v>23.48</v>
      </c>
      <c r="O956" t="n">
        <v>734.04</v>
      </c>
      <c r="P956" t="n">
        <v>632.28</v>
      </c>
      <c r="Q956">
        <f>ROUND(L956*M956*N956/1000+O956+P956,2)</f>
        <v/>
      </c>
      <c r="R956" t="inlineStr">
        <is>
          <t>No</t>
        </is>
      </c>
      <c r="S956">
        <f>IF(OR(E956="",D956=""),"",MAX(0,E956-D956))</f>
        <v/>
      </c>
      <c r="T956" t="inlineStr">
        <is>
          <t>No</t>
        </is>
      </c>
      <c r="U956" t="n">
        <v>49</v>
      </c>
      <c r="V956" t="inlineStr">
        <is>
          <t>COD</t>
        </is>
      </c>
      <c r="W956" t="n">
        <v>5</v>
      </c>
      <c r="X956" t="inlineStr">
        <is>
          <t>Weather</t>
        </is>
      </c>
    </row>
    <row r="957">
      <c r="A957" t="inlineStr">
        <is>
          <t>ORD-2026-00956</t>
        </is>
      </c>
      <c r="B957" t="inlineStr">
        <is>
          <t>CUST-0080</t>
        </is>
      </c>
      <c r="C957" s="3" t="n">
        <v>46180</v>
      </c>
      <c r="D957" s="3" t="n">
        <v>46184</v>
      </c>
      <c r="E957" s="3" t="n">
        <v>46185</v>
      </c>
      <c r="F957" t="inlineStr">
        <is>
          <t>Mumbai</t>
        </is>
      </c>
      <c r="G957" t="inlineStr">
        <is>
          <t>Hyderabad</t>
        </is>
      </c>
      <c r="H957" t="inlineStr">
        <is>
          <t>FedEx</t>
        </is>
      </c>
      <c r="I957" t="inlineStr">
        <is>
          <t>Bike</t>
        </is>
      </c>
      <c r="J957" t="inlineStr">
        <is>
          <t>High</t>
        </is>
      </c>
      <c r="K957" t="inlineStr">
        <is>
          <t>Delivered</t>
        </is>
      </c>
      <c r="L957" t="n">
        <v>1741.35</v>
      </c>
      <c r="M957" t="n">
        <v>2255</v>
      </c>
      <c r="N957" t="n">
        <v>33.1</v>
      </c>
      <c r="O957" t="n">
        <v>11154.29</v>
      </c>
      <c r="P957" t="n">
        <v>584.12</v>
      </c>
      <c r="Q957">
        <f>ROUND(L957*M957*N957/1000+O957+P957,2)</f>
        <v/>
      </c>
      <c r="R957" t="inlineStr">
        <is>
          <t>No</t>
        </is>
      </c>
      <c r="S957">
        <f>IF(OR(E957="",D957=""),"",MAX(0,E957-D957))</f>
        <v/>
      </c>
      <c r="T957" t="inlineStr">
        <is>
          <t>No</t>
        </is>
      </c>
      <c r="U957" t="n">
        <v>7</v>
      </c>
      <c r="V957" t="inlineStr">
        <is>
          <t>Paid</t>
        </is>
      </c>
      <c r="W957" t="n">
        <v>1</v>
      </c>
      <c r="X957" t="inlineStr">
        <is>
          <t>Customs</t>
        </is>
      </c>
    </row>
    <row r="958">
      <c r="A958" t="inlineStr">
        <is>
          <t>ORD-2026-00957</t>
        </is>
      </c>
      <c r="B958" t="inlineStr">
        <is>
          <t>CUST-0012</t>
        </is>
      </c>
      <c r="C958" s="3" t="n">
        <v>46057</v>
      </c>
      <c r="D958" s="3" t="n">
        <v>46060</v>
      </c>
      <c r="E958" s="3" t="n">
        <v>46060</v>
      </c>
      <c r="F958" t="inlineStr">
        <is>
          <t>Hyderabad</t>
        </is>
      </c>
      <c r="G958" t="inlineStr">
        <is>
          <t>Mumbai</t>
        </is>
      </c>
      <c r="H958" t="inlineStr">
        <is>
          <t>BlueDart</t>
        </is>
      </c>
      <c r="I958" t="inlineStr">
        <is>
          <t>Container</t>
        </is>
      </c>
      <c r="J958" t="inlineStr">
        <is>
          <t>Low</t>
        </is>
      </c>
      <c r="K958" t="inlineStr">
        <is>
          <t>Delivered</t>
        </is>
      </c>
      <c r="L958" t="n">
        <v>1194.65</v>
      </c>
      <c r="M958" t="n">
        <v>1484</v>
      </c>
      <c r="N958" t="n">
        <v>22.04</v>
      </c>
      <c r="O958" t="n">
        <v>3349.6</v>
      </c>
      <c r="P958" t="n">
        <v>1335.95</v>
      </c>
      <c r="Q958">
        <f>ROUND(L958*M958*N958/1000+O958+P958,2)</f>
        <v/>
      </c>
      <c r="R958" t="inlineStr">
        <is>
          <t>Yes</t>
        </is>
      </c>
      <c r="S958">
        <f>IF(OR(E958="",D958=""),"",MAX(0,E958-D958))</f>
        <v/>
      </c>
      <c r="T958" t="inlineStr">
        <is>
          <t>No</t>
        </is>
      </c>
      <c r="U958" t="n">
        <v>8</v>
      </c>
      <c r="V958" t="inlineStr">
        <is>
          <t>Pending</t>
        </is>
      </c>
      <c r="W958" t="n">
        <v>5</v>
      </c>
      <c r="X958" t="inlineStr">
        <is>
          <t>Customs</t>
        </is>
      </c>
    </row>
    <row r="959">
      <c r="A959" t="inlineStr">
        <is>
          <t>ORD-2026-00958</t>
        </is>
      </c>
      <c r="B959" t="inlineStr">
        <is>
          <t>CUST-0096</t>
        </is>
      </c>
      <c r="C959" s="3" t="n">
        <v>46215</v>
      </c>
      <c r="D959" s="3" t="n">
        <v>46222</v>
      </c>
      <c r="E959" s="3" t="n">
        <v>46222</v>
      </c>
      <c r="F959" t="inlineStr">
        <is>
          <t>Kolkata</t>
        </is>
      </c>
      <c r="G959" t="inlineStr">
        <is>
          <t>Ahmedabad</t>
        </is>
      </c>
      <c r="H959" t="inlineStr">
        <is>
          <t>Delhivery</t>
        </is>
      </c>
      <c r="I959" t="inlineStr">
        <is>
          <t>Container</t>
        </is>
      </c>
      <c r="J959" t="inlineStr">
        <is>
          <t>Low</t>
        </is>
      </c>
      <c r="K959" t="inlineStr">
        <is>
          <t>Delivered</t>
        </is>
      </c>
      <c r="L959" t="n">
        <v>1027.27</v>
      </c>
      <c r="M959" t="n">
        <v>2657</v>
      </c>
      <c r="N959" t="n">
        <v>15.17</v>
      </c>
      <c r="O959" t="n">
        <v>2520.79</v>
      </c>
      <c r="P959" t="n">
        <v>404.66</v>
      </c>
      <c r="Q959">
        <f>ROUND(L959*M959*N959/1000+O959+P959,2)</f>
        <v/>
      </c>
      <c r="R959" t="inlineStr">
        <is>
          <t>Yes</t>
        </is>
      </c>
      <c r="S959">
        <f>IF(OR(E959="",D959=""),"",MAX(0,E959-D959))</f>
        <v/>
      </c>
      <c r="T959" t="inlineStr">
        <is>
          <t>Yes</t>
        </is>
      </c>
      <c r="U959" t="n">
        <v>4</v>
      </c>
      <c r="V959" t="inlineStr">
        <is>
          <t>COD</t>
        </is>
      </c>
      <c r="W959" t="n">
        <v>2</v>
      </c>
      <c r="X959" t="inlineStr">
        <is>
          <t>Vehicle Breakdown</t>
        </is>
      </c>
    </row>
    <row r="960">
      <c r="A960" t="inlineStr">
        <is>
          <t>ORD-2026-00959</t>
        </is>
      </c>
      <c r="B960" t="inlineStr">
        <is>
          <t>CUST-0221</t>
        </is>
      </c>
      <c r="C960" s="3" t="n">
        <v>46158</v>
      </c>
      <c r="D960" s="3" t="n">
        <v>46163</v>
      </c>
      <c r="E960" s="3" t="n">
        <v>46163</v>
      </c>
      <c r="F960" t="inlineStr">
        <is>
          <t>Surat</t>
        </is>
      </c>
      <c r="G960" t="inlineStr">
        <is>
          <t>Kolkata</t>
        </is>
      </c>
      <c r="H960" t="inlineStr">
        <is>
          <t>Delhivery</t>
        </is>
      </c>
      <c r="I960" t="inlineStr">
        <is>
          <t>Container</t>
        </is>
      </c>
      <c r="J960" t="inlineStr">
        <is>
          <t>Critical</t>
        </is>
      </c>
      <c r="K960" t="inlineStr">
        <is>
          <t>Delivered</t>
        </is>
      </c>
      <c r="L960" t="n">
        <v>941.15</v>
      </c>
      <c r="M960" t="n">
        <v>1541</v>
      </c>
      <c r="N960" t="n">
        <v>46.9</v>
      </c>
      <c r="O960" t="n">
        <v>3158.72</v>
      </c>
      <c r="P960" t="n">
        <v>1356.48</v>
      </c>
      <c r="Q960">
        <f>ROUND(L960*M960*N960/1000+O960+P960,2)</f>
        <v/>
      </c>
      <c r="R960" t="inlineStr">
        <is>
          <t>Yes</t>
        </is>
      </c>
      <c r="S960">
        <f>IF(OR(E960="",D960=""),"",MAX(0,E960-D960))</f>
        <v/>
      </c>
      <c r="T960" t="inlineStr">
        <is>
          <t>No</t>
        </is>
      </c>
      <c r="U960" t="n">
        <v>7</v>
      </c>
      <c r="V960" t="inlineStr">
        <is>
          <t>COD</t>
        </is>
      </c>
      <c r="W960" t="n">
        <v>4</v>
      </c>
      <c r="X960" t="inlineStr">
        <is>
          <t>Vehicle Breakdown</t>
        </is>
      </c>
    </row>
    <row r="961">
      <c r="A961" t="inlineStr">
        <is>
          <t>ORD-2026-00960</t>
        </is>
      </c>
      <c r="B961" t="inlineStr">
        <is>
          <t>CUST-0008</t>
        </is>
      </c>
      <c r="C961" s="3" t="n">
        <v>46064</v>
      </c>
      <c r="D961" s="3" t="n">
        <v>46065</v>
      </c>
      <c r="E961" s="3" t="n">
        <v>46067</v>
      </c>
      <c r="F961" t="inlineStr">
        <is>
          <t>Kolkata</t>
        </is>
      </c>
      <c r="G961" t="inlineStr">
        <is>
          <t>Jaipur</t>
        </is>
      </c>
      <c r="H961" t="inlineStr">
        <is>
          <t>Aramex</t>
        </is>
      </c>
      <c r="I961" t="inlineStr">
        <is>
          <t>Refrigerated Truck</t>
        </is>
      </c>
      <c r="J961" t="inlineStr">
        <is>
          <t>High</t>
        </is>
      </c>
      <c r="K961" t="inlineStr">
        <is>
          <t>Delivered</t>
        </is>
      </c>
      <c r="L961" t="n">
        <v>787.21</v>
      </c>
      <c r="M961" t="n">
        <v>1496</v>
      </c>
      <c r="N961" t="n">
        <v>35.93</v>
      </c>
      <c r="O961" t="n">
        <v>2394.34</v>
      </c>
      <c r="P961" t="n">
        <v>815.53</v>
      </c>
      <c r="Q961">
        <f>ROUND(L961*M961*N961/1000+O961+P961,2)</f>
        <v/>
      </c>
      <c r="R961" t="inlineStr">
        <is>
          <t>No</t>
        </is>
      </c>
      <c r="S961">
        <f>IF(OR(E961="",D961=""),"",MAX(0,E961-D961))</f>
        <v/>
      </c>
      <c r="T961" t="inlineStr">
        <is>
          <t>Yes</t>
        </is>
      </c>
      <c r="U961" t="n">
        <v>25</v>
      </c>
      <c r="V961" t="inlineStr">
        <is>
          <t>Paid</t>
        </is>
      </c>
      <c r="W961" t="n">
        <v>4</v>
      </c>
      <c r="X961" t="inlineStr">
        <is>
          <t>Address Error</t>
        </is>
      </c>
    </row>
    <row r="962">
      <c r="A962" t="inlineStr">
        <is>
          <t>ORD-2026-00961</t>
        </is>
      </c>
      <c r="B962" t="inlineStr">
        <is>
          <t>CUST-0180</t>
        </is>
      </c>
      <c r="C962" s="3" t="n">
        <v>46085</v>
      </c>
      <c r="D962" s="3" t="n">
        <v>46091</v>
      </c>
      <c r="E962" s="3" t="n">
        <v>46091</v>
      </c>
      <c r="F962" t="inlineStr">
        <is>
          <t>Pune</t>
        </is>
      </c>
      <c r="G962" t="inlineStr">
        <is>
          <t>Ahmedabad</t>
        </is>
      </c>
      <c r="H962" t="inlineStr">
        <is>
          <t>BlueDart</t>
        </is>
      </c>
      <c r="I962" t="inlineStr">
        <is>
          <t>Container</t>
        </is>
      </c>
      <c r="J962" t="inlineStr">
        <is>
          <t>High</t>
        </is>
      </c>
      <c r="K962" t="inlineStr">
        <is>
          <t>Delivered</t>
        </is>
      </c>
      <c r="L962" t="n">
        <v>953.46</v>
      </c>
      <c r="M962" t="n">
        <v>540</v>
      </c>
      <c r="N962" t="n">
        <v>56.69</v>
      </c>
      <c r="O962" t="n">
        <v>1198.44</v>
      </c>
      <c r="P962" t="n">
        <v>639.73</v>
      </c>
      <c r="Q962">
        <f>ROUND(L962*M962*N962/1000+O962+P962,2)</f>
        <v/>
      </c>
      <c r="R962" t="inlineStr">
        <is>
          <t>Yes</t>
        </is>
      </c>
      <c r="S962">
        <f>IF(OR(E962="",D962=""),"",MAX(0,E962-D962))</f>
        <v/>
      </c>
      <c r="T962" t="inlineStr">
        <is>
          <t>No</t>
        </is>
      </c>
      <c r="U962" t="n">
        <v>30</v>
      </c>
      <c r="V962" t="inlineStr">
        <is>
          <t>Paid</t>
        </is>
      </c>
      <c r="W962" t="n">
        <v>1</v>
      </c>
      <c r="X962" t="inlineStr">
        <is>
          <t>Damaged Package</t>
        </is>
      </c>
    </row>
    <row r="963">
      <c r="A963" t="inlineStr">
        <is>
          <t>ORD-2026-00962</t>
        </is>
      </c>
      <c r="B963" t="inlineStr">
        <is>
          <t>CUST-0247</t>
        </is>
      </c>
      <c r="C963" s="3" t="n">
        <v>46195</v>
      </c>
      <c r="D963" s="3" t="n">
        <v>46202</v>
      </c>
      <c r="E963" s="3" t="n">
        <v>46202</v>
      </c>
      <c r="F963" t="inlineStr">
        <is>
          <t>Jaipur</t>
        </is>
      </c>
      <c r="G963" t="inlineStr">
        <is>
          <t>Jaipur</t>
        </is>
      </c>
      <c r="H963" t="inlineStr">
        <is>
          <t>FedEx</t>
        </is>
      </c>
      <c r="I963" t="inlineStr">
        <is>
          <t>Container</t>
        </is>
      </c>
      <c r="J963" t="inlineStr">
        <is>
          <t>Normal</t>
        </is>
      </c>
      <c r="K963" t="inlineStr">
        <is>
          <t>Delivered</t>
        </is>
      </c>
      <c r="L963" t="n">
        <v>437.68</v>
      </c>
      <c r="M963" t="n">
        <v>1209</v>
      </c>
      <c r="N963" t="n">
        <v>18.32</v>
      </c>
      <c r="O963" t="n">
        <v>734.0599999999999</v>
      </c>
      <c r="P963" t="n">
        <v>688.85</v>
      </c>
      <c r="Q963">
        <f>ROUND(L963*M963*N963/1000+O963+P963,2)</f>
        <v/>
      </c>
      <c r="R963" t="inlineStr">
        <is>
          <t>Yes</t>
        </is>
      </c>
      <c r="S963">
        <f>IF(OR(E963="",D963=""),"",MAX(0,E963-D963))</f>
        <v/>
      </c>
      <c r="T963" t="inlineStr">
        <is>
          <t>No</t>
        </is>
      </c>
      <c r="U963" t="n">
        <v>79</v>
      </c>
      <c r="V963" t="inlineStr">
        <is>
          <t>Paid</t>
        </is>
      </c>
      <c r="W963" t="n">
        <v>4</v>
      </c>
      <c r="X963" t="inlineStr">
        <is>
          <t>None</t>
        </is>
      </c>
    </row>
    <row r="964">
      <c r="A964" t="inlineStr">
        <is>
          <t>ORD-2026-00963</t>
        </is>
      </c>
      <c r="B964" t="inlineStr">
        <is>
          <t>CUST-0065</t>
        </is>
      </c>
      <c r="C964" s="3" t="n">
        <v>46049</v>
      </c>
      <c r="D964" s="3" t="n">
        <v>46051</v>
      </c>
      <c r="E964" s="3" t="n">
        <v>46051</v>
      </c>
      <c r="F964" t="inlineStr">
        <is>
          <t>Surat</t>
        </is>
      </c>
      <c r="G964" t="inlineStr">
        <is>
          <t>Surat</t>
        </is>
      </c>
      <c r="H964" t="inlineStr">
        <is>
          <t>Maersk</t>
        </is>
      </c>
      <c r="I964" t="inlineStr">
        <is>
          <t>Container</t>
        </is>
      </c>
      <c r="J964" t="inlineStr">
        <is>
          <t>Low</t>
        </is>
      </c>
      <c r="K964" t="inlineStr">
        <is>
          <t>Delivered</t>
        </is>
      </c>
      <c r="L964" t="n">
        <v>250.24</v>
      </c>
      <c r="M964" t="n">
        <v>1530</v>
      </c>
      <c r="N964" t="n">
        <v>59.91</v>
      </c>
      <c r="O964" t="n">
        <v>1860.4</v>
      </c>
      <c r="P964" t="n">
        <v>1226.62</v>
      </c>
      <c r="Q964">
        <f>ROUND(L964*M964*N964/1000+O964+P964,2)</f>
        <v/>
      </c>
      <c r="R964" t="inlineStr">
        <is>
          <t>Yes</t>
        </is>
      </c>
      <c r="S964">
        <f>IF(OR(E964="",D964=""),"",MAX(0,E964-D964))</f>
        <v/>
      </c>
      <c r="T964" t="inlineStr">
        <is>
          <t>Yes</t>
        </is>
      </c>
      <c r="U964" t="n">
        <v>69</v>
      </c>
      <c r="V964" t="inlineStr">
        <is>
          <t>Paid</t>
        </is>
      </c>
      <c r="W964" t="n">
        <v>1</v>
      </c>
      <c r="X964" t="inlineStr">
        <is>
          <t>Weather</t>
        </is>
      </c>
    </row>
    <row r="965">
      <c r="A965" t="inlineStr">
        <is>
          <t>ORD-2026-00964</t>
        </is>
      </c>
      <c r="B965" t="inlineStr">
        <is>
          <t>CUST-0242</t>
        </is>
      </c>
      <c r="C965" s="3" t="n">
        <v>46173</v>
      </c>
      <c r="D965" s="3" t="n">
        <v>46180</v>
      </c>
      <c r="E965" s="3" t="n">
        <v>46180</v>
      </c>
      <c r="F965" t="inlineStr">
        <is>
          <t>Hyderabad</t>
        </is>
      </c>
      <c r="G965" t="inlineStr">
        <is>
          <t>Jaipur</t>
        </is>
      </c>
      <c r="H965" t="inlineStr">
        <is>
          <t>Aramex</t>
        </is>
      </c>
      <c r="I965" t="inlineStr">
        <is>
          <t>Van</t>
        </is>
      </c>
      <c r="J965" t="inlineStr">
        <is>
          <t>High</t>
        </is>
      </c>
      <c r="K965" t="inlineStr">
        <is>
          <t>Delivered</t>
        </is>
      </c>
      <c r="L965" t="n">
        <v>1397.29</v>
      </c>
      <c r="M965" t="n">
        <v>807</v>
      </c>
      <c r="N965" t="n">
        <v>57.85</v>
      </c>
      <c r="O965" t="n">
        <v>2633.65</v>
      </c>
      <c r="P965" t="n">
        <v>901.38</v>
      </c>
      <c r="Q965">
        <f>ROUND(L965*M965*N965/1000+O965+P965,2)</f>
        <v/>
      </c>
      <c r="R965" t="inlineStr">
        <is>
          <t>Yes</t>
        </is>
      </c>
      <c r="S965">
        <f>IF(OR(E965="",D965=""),"",MAX(0,E965-D965))</f>
        <v/>
      </c>
      <c r="T965" t="inlineStr">
        <is>
          <t>No</t>
        </is>
      </c>
      <c r="U965" t="n">
        <v>18</v>
      </c>
      <c r="V965" t="inlineStr">
        <is>
          <t>Failed</t>
        </is>
      </c>
      <c r="W965" t="n">
        <v>3</v>
      </c>
      <c r="X965" t="inlineStr">
        <is>
          <t>Customer Unavailable</t>
        </is>
      </c>
    </row>
    <row r="966">
      <c r="A966" t="inlineStr">
        <is>
          <t>ORD-2026-00965</t>
        </is>
      </c>
      <c r="B966" t="inlineStr">
        <is>
          <t>CUST-0227</t>
        </is>
      </c>
      <c r="C966" s="3" t="n">
        <v>46065</v>
      </c>
      <c r="D966" s="3" t="n">
        <v>46072</v>
      </c>
      <c r="E966" s="3" t="n">
        <v>46072</v>
      </c>
      <c r="F966" t="inlineStr">
        <is>
          <t>Jaipur</t>
        </is>
      </c>
      <c r="G966" t="inlineStr">
        <is>
          <t>Hyderabad</t>
        </is>
      </c>
      <c r="H966" t="inlineStr">
        <is>
          <t>DHL</t>
        </is>
      </c>
      <c r="I966" t="inlineStr">
        <is>
          <t>Container</t>
        </is>
      </c>
      <c r="J966" t="inlineStr">
        <is>
          <t>High</t>
        </is>
      </c>
      <c r="K966" t="inlineStr">
        <is>
          <t>Delivered</t>
        </is>
      </c>
      <c r="L966" t="n">
        <v>2298.84</v>
      </c>
      <c r="M966" t="n">
        <v>224</v>
      </c>
      <c r="N966" t="n">
        <v>19.62</v>
      </c>
      <c r="O966" t="n">
        <v>455.39</v>
      </c>
      <c r="P966" t="n">
        <v>1108.42</v>
      </c>
      <c r="Q966">
        <f>ROUND(L966*M966*N966/1000+O966+P966,2)</f>
        <v/>
      </c>
      <c r="R966" t="inlineStr">
        <is>
          <t>Yes</t>
        </is>
      </c>
      <c r="S966">
        <f>IF(OR(E966="",D966=""),"",MAX(0,E966-D966))</f>
        <v/>
      </c>
      <c r="T966" t="inlineStr">
        <is>
          <t>No</t>
        </is>
      </c>
      <c r="U966" t="n">
        <v>69</v>
      </c>
      <c r="V966" t="inlineStr">
        <is>
          <t>Paid</t>
        </is>
      </c>
      <c r="W966" t="n">
        <v>4</v>
      </c>
      <c r="X966" t="inlineStr">
        <is>
          <t>Customs</t>
        </is>
      </c>
    </row>
    <row r="967">
      <c r="A967" t="inlineStr">
        <is>
          <t>ORD-2026-00966</t>
        </is>
      </c>
      <c r="B967" t="inlineStr">
        <is>
          <t>CUST-0060</t>
        </is>
      </c>
      <c r="C967" s="3" t="n">
        <v>46112</v>
      </c>
      <c r="D967" s="3" t="n">
        <v>46115</v>
      </c>
      <c r="E967" s="3" t="n">
        <v>46115</v>
      </c>
      <c r="F967" t="inlineStr">
        <is>
          <t>Surat</t>
        </is>
      </c>
      <c r="G967" t="inlineStr">
        <is>
          <t>Hyderabad</t>
        </is>
      </c>
      <c r="H967" t="inlineStr">
        <is>
          <t>FedEx</t>
        </is>
      </c>
      <c r="I967" t="inlineStr">
        <is>
          <t>Refrigerated Truck</t>
        </is>
      </c>
      <c r="J967" t="inlineStr">
        <is>
          <t>High</t>
        </is>
      </c>
      <c r="K967" t="inlineStr">
        <is>
          <t>Delivered</t>
        </is>
      </c>
      <c r="L967" t="n">
        <v>1285.38</v>
      </c>
      <c r="M967" t="n">
        <v>1273</v>
      </c>
      <c r="N967" t="n">
        <v>15.29</v>
      </c>
      <c r="O967" t="n">
        <v>1758.95</v>
      </c>
      <c r="P967" t="n">
        <v>1048.18</v>
      </c>
      <c r="Q967">
        <f>ROUND(L967*M967*N967/1000+O967+P967,2)</f>
        <v/>
      </c>
      <c r="R967" t="inlineStr">
        <is>
          <t>Yes</t>
        </is>
      </c>
      <c r="S967">
        <f>IF(OR(E967="",D967=""),"",MAX(0,E967-D967))</f>
        <v/>
      </c>
      <c r="T967" t="inlineStr">
        <is>
          <t>Yes</t>
        </is>
      </c>
      <c r="U967" t="n">
        <v>5</v>
      </c>
      <c r="V967" t="inlineStr">
        <is>
          <t>Failed</t>
        </is>
      </c>
      <c r="W967" t="n">
        <v>3</v>
      </c>
      <c r="X967" t="inlineStr">
        <is>
          <t>Vehicle Breakdown</t>
        </is>
      </c>
    </row>
    <row r="968">
      <c r="A968" t="inlineStr">
        <is>
          <t>ORD-2026-00967</t>
        </is>
      </c>
      <c r="B968" t="inlineStr">
        <is>
          <t>CUST-0050</t>
        </is>
      </c>
      <c r="C968" s="3" t="n">
        <v>46190</v>
      </c>
      <c r="D968" s="3" t="n">
        <v>46196</v>
      </c>
      <c r="E968" s="3" t="n">
        <v>46196</v>
      </c>
      <c r="F968" t="inlineStr">
        <is>
          <t>Delhi</t>
        </is>
      </c>
      <c r="G968" t="inlineStr">
        <is>
          <t>Jaipur</t>
        </is>
      </c>
      <c r="H968" t="inlineStr">
        <is>
          <t>FedEx</t>
        </is>
      </c>
      <c r="I968" t="inlineStr">
        <is>
          <t>Bike</t>
        </is>
      </c>
      <c r="J968" t="inlineStr">
        <is>
          <t>Critical</t>
        </is>
      </c>
      <c r="K968" t="inlineStr">
        <is>
          <t>Delivered</t>
        </is>
      </c>
      <c r="L968" t="n">
        <v>1849.55</v>
      </c>
      <c r="M968" t="n">
        <v>811</v>
      </c>
      <c r="N968" t="n">
        <v>56.19</v>
      </c>
      <c r="O968" t="n">
        <v>2916.42</v>
      </c>
      <c r="P968" t="n">
        <v>227.12</v>
      </c>
      <c r="Q968">
        <f>ROUND(L968*M968*N968/1000+O968+P968,2)</f>
        <v/>
      </c>
      <c r="R968" t="inlineStr">
        <is>
          <t>Yes</t>
        </is>
      </c>
      <c r="S968">
        <f>IF(OR(E968="",D968=""),"",MAX(0,E968-D968))</f>
        <v/>
      </c>
      <c r="T968" t="inlineStr">
        <is>
          <t>Yes</t>
        </is>
      </c>
      <c r="U968" t="n">
        <v>58</v>
      </c>
      <c r="V968" t="inlineStr">
        <is>
          <t>Failed</t>
        </is>
      </c>
      <c r="W968" t="n">
        <v>4</v>
      </c>
      <c r="X968" t="inlineStr">
        <is>
          <t>Customer Unavailable</t>
        </is>
      </c>
    </row>
    <row r="969">
      <c r="A969" t="inlineStr">
        <is>
          <t>ORD-2026-00968</t>
        </is>
      </c>
      <c r="B969" t="inlineStr">
        <is>
          <t>CUST-0143</t>
        </is>
      </c>
      <c r="C969" s="3" t="n">
        <v>46075</v>
      </c>
      <c r="D969" s="3" t="n">
        <v>46079</v>
      </c>
      <c r="E969" s="3" t="n">
        <v>46080</v>
      </c>
      <c r="F969" t="inlineStr">
        <is>
          <t>Surat</t>
        </is>
      </c>
      <c r="G969" t="inlineStr">
        <is>
          <t>Chennai</t>
        </is>
      </c>
      <c r="H969" t="inlineStr">
        <is>
          <t>Maersk</t>
        </is>
      </c>
      <c r="I969" t="inlineStr">
        <is>
          <t>Truck</t>
        </is>
      </c>
      <c r="J969" t="inlineStr">
        <is>
          <t>Low</t>
        </is>
      </c>
      <c r="K969" t="inlineStr">
        <is>
          <t>Delivered</t>
        </is>
      </c>
      <c r="L969" t="n">
        <v>1696.46</v>
      </c>
      <c r="M969" t="n">
        <v>686</v>
      </c>
      <c r="N969" t="n">
        <v>35.89</v>
      </c>
      <c r="O969" t="n">
        <v>1329.98</v>
      </c>
      <c r="P969" t="n">
        <v>1304.06</v>
      </c>
      <c r="Q969">
        <f>ROUND(L969*M969*N969/1000+O969+P969,2)</f>
        <v/>
      </c>
      <c r="R969" t="inlineStr">
        <is>
          <t>No</t>
        </is>
      </c>
      <c r="S969">
        <f>IF(OR(E969="",D969=""),"",MAX(0,E969-D969))</f>
        <v/>
      </c>
      <c r="T969" t="inlineStr">
        <is>
          <t>No</t>
        </is>
      </c>
      <c r="U969" t="n">
        <v>46</v>
      </c>
      <c r="V969" t="inlineStr">
        <is>
          <t>Paid</t>
        </is>
      </c>
      <c r="W969" t="n">
        <v>5</v>
      </c>
      <c r="X969" t="inlineStr">
        <is>
          <t>None</t>
        </is>
      </c>
    </row>
    <row r="970">
      <c r="A970" t="inlineStr">
        <is>
          <t>ORD-2026-00969</t>
        </is>
      </c>
      <c r="B970" t="inlineStr">
        <is>
          <t>CUST-0099</t>
        </is>
      </c>
      <c r="C970" s="3" t="n">
        <v>46228</v>
      </c>
      <c r="D970" s="3" t="n">
        <v>46230</v>
      </c>
      <c r="E970" s="3" t="n">
        <v>46231</v>
      </c>
      <c r="F970" t="inlineStr">
        <is>
          <t>Kolkata</t>
        </is>
      </c>
      <c r="G970" t="inlineStr">
        <is>
          <t>Bengaluru</t>
        </is>
      </c>
      <c r="H970" t="inlineStr">
        <is>
          <t>FedEx</t>
        </is>
      </c>
      <c r="I970" t="inlineStr">
        <is>
          <t>Bike</t>
        </is>
      </c>
      <c r="J970" t="inlineStr">
        <is>
          <t>Normal</t>
        </is>
      </c>
      <c r="K970" t="inlineStr">
        <is>
          <t>Delivered</t>
        </is>
      </c>
      <c r="L970" t="n">
        <v>617.72</v>
      </c>
      <c r="M970" t="n">
        <v>175</v>
      </c>
      <c r="N970" t="n">
        <v>22.53</v>
      </c>
      <c r="O970" t="n">
        <v>177.51</v>
      </c>
      <c r="P970" t="n">
        <v>307.66</v>
      </c>
      <c r="Q970">
        <f>ROUND(L970*M970*N970/1000+O970+P970,2)</f>
        <v/>
      </c>
      <c r="R970" t="inlineStr">
        <is>
          <t>No</t>
        </is>
      </c>
      <c r="S970">
        <f>IF(OR(E970="",D970=""),"",MAX(0,E970-D970))</f>
        <v/>
      </c>
      <c r="T970" t="inlineStr">
        <is>
          <t>No</t>
        </is>
      </c>
      <c r="U970" t="n">
        <v>80</v>
      </c>
      <c r="V970" t="inlineStr">
        <is>
          <t>Pending</t>
        </is>
      </c>
      <c r="W970" t="n">
        <v>3</v>
      </c>
      <c r="X970" t="inlineStr">
        <is>
          <t>Customer Unavailable</t>
        </is>
      </c>
    </row>
    <row r="971">
      <c r="A971" t="inlineStr">
        <is>
          <t>ORD-2026-00970</t>
        </is>
      </c>
      <c r="B971" t="inlineStr">
        <is>
          <t>CUST-0102</t>
        </is>
      </c>
      <c r="C971" s="3" t="n">
        <v>46081</v>
      </c>
      <c r="D971" s="3" t="n">
        <v>46086</v>
      </c>
      <c r="E971" s="3" t="n">
        <v>46086</v>
      </c>
      <c r="F971" t="inlineStr">
        <is>
          <t>Jaipur</t>
        </is>
      </c>
      <c r="G971" t="inlineStr">
        <is>
          <t>Jaipur</t>
        </is>
      </c>
      <c r="H971" t="inlineStr">
        <is>
          <t>DTDC</t>
        </is>
      </c>
      <c r="I971" t="inlineStr">
        <is>
          <t>Refrigerated Truck</t>
        </is>
      </c>
      <c r="J971" t="inlineStr">
        <is>
          <t>Low</t>
        </is>
      </c>
      <c r="K971" t="inlineStr">
        <is>
          <t>Delivered</t>
        </is>
      </c>
      <c r="L971" t="n">
        <v>2158.13</v>
      </c>
      <c r="M971" t="n">
        <v>2603</v>
      </c>
      <c r="N971" t="n">
        <v>50.2</v>
      </c>
      <c r="O971" t="n">
        <v>17169.01</v>
      </c>
      <c r="P971" t="n">
        <v>1078.43</v>
      </c>
      <c r="Q971">
        <f>ROUND(L971*M971*N971/1000+O971+P971,2)</f>
        <v/>
      </c>
      <c r="R971" t="inlineStr">
        <is>
          <t>Yes</t>
        </is>
      </c>
      <c r="S971">
        <f>IF(OR(E971="",D971=""),"",MAX(0,E971-D971))</f>
        <v/>
      </c>
      <c r="T971" t="inlineStr">
        <is>
          <t>No</t>
        </is>
      </c>
      <c r="U971" t="n">
        <v>45</v>
      </c>
      <c r="V971" t="inlineStr">
        <is>
          <t>Pending</t>
        </is>
      </c>
      <c r="W971" t="n">
        <v>3</v>
      </c>
      <c r="X971" t="inlineStr">
        <is>
          <t>Vehicle Breakdown</t>
        </is>
      </c>
    </row>
    <row r="972">
      <c r="A972" t="inlineStr">
        <is>
          <t>ORD-2026-00971</t>
        </is>
      </c>
      <c r="B972" t="inlineStr">
        <is>
          <t>CUST-0122</t>
        </is>
      </c>
      <c r="C972" s="3" t="n">
        <v>46088</v>
      </c>
      <c r="D972" s="3" t="n">
        <v>46094</v>
      </c>
      <c r="E972" s="3" t="n">
        <v>46094</v>
      </c>
      <c r="F972" t="inlineStr">
        <is>
          <t>Kolkata</t>
        </is>
      </c>
      <c r="G972" t="inlineStr">
        <is>
          <t>Kolkata</t>
        </is>
      </c>
      <c r="H972" t="inlineStr">
        <is>
          <t>DHL</t>
        </is>
      </c>
      <c r="I972" t="inlineStr">
        <is>
          <t>Container</t>
        </is>
      </c>
      <c r="J972" t="inlineStr">
        <is>
          <t>Low</t>
        </is>
      </c>
      <c r="K972" t="inlineStr">
        <is>
          <t>Delivered</t>
        </is>
      </c>
      <c r="L972" t="n">
        <v>2064.72</v>
      </c>
      <c r="M972" t="n">
        <v>866</v>
      </c>
      <c r="N972" t="n">
        <v>54.71</v>
      </c>
      <c r="O972" t="n">
        <v>8094.01</v>
      </c>
      <c r="P972" t="n">
        <v>1038.88</v>
      </c>
      <c r="Q972">
        <f>ROUND(L972*M972*N972/1000+O972+P972,2)</f>
        <v/>
      </c>
      <c r="R972" t="inlineStr">
        <is>
          <t>Yes</t>
        </is>
      </c>
      <c r="S972">
        <f>IF(OR(E972="",D972=""),"",MAX(0,E972-D972))</f>
        <v/>
      </c>
      <c r="T972" t="inlineStr">
        <is>
          <t>Yes</t>
        </is>
      </c>
      <c r="U972" t="n">
        <v>42</v>
      </c>
      <c r="V972" t="inlineStr">
        <is>
          <t>Pending</t>
        </is>
      </c>
      <c r="W972" t="n">
        <v>5</v>
      </c>
      <c r="X972" t="inlineStr">
        <is>
          <t>None</t>
        </is>
      </c>
    </row>
    <row r="973">
      <c r="A973" t="inlineStr">
        <is>
          <t>ORD-2026-00972</t>
        </is>
      </c>
      <c r="B973" t="inlineStr">
        <is>
          <t>CUST-0109</t>
        </is>
      </c>
      <c r="C973" s="3" t="n">
        <v>46060</v>
      </c>
      <c r="D973" s="3" t="n">
        <v>46068</v>
      </c>
      <c r="E973" s="3" t="n">
        <v>46078</v>
      </c>
      <c r="F973" t="inlineStr">
        <is>
          <t>Kolkata</t>
        </is>
      </c>
      <c r="G973" t="inlineStr">
        <is>
          <t>Surat</t>
        </is>
      </c>
      <c r="H973" t="inlineStr">
        <is>
          <t>DTDC</t>
        </is>
      </c>
      <c r="I973" t="inlineStr">
        <is>
          <t>Truck</t>
        </is>
      </c>
      <c r="J973" t="inlineStr">
        <is>
          <t>Low</t>
        </is>
      </c>
      <c r="K973" t="inlineStr">
        <is>
          <t>Delivered</t>
        </is>
      </c>
      <c r="L973" t="n">
        <v>639.01</v>
      </c>
      <c r="M973" t="n">
        <v>2212</v>
      </c>
      <c r="N973" t="n">
        <v>49.91</v>
      </c>
      <c r="O973" t="n">
        <v>5519.22</v>
      </c>
      <c r="P973" t="n">
        <v>860.49</v>
      </c>
      <c r="Q973">
        <f>ROUND(L973*M973*N973/1000+O973+P973,2)</f>
        <v/>
      </c>
      <c r="R973" t="inlineStr">
        <is>
          <t>No</t>
        </is>
      </c>
      <c r="S973">
        <f>IF(OR(E973="",D973=""),"",MAX(0,E973-D973))</f>
        <v/>
      </c>
      <c r="T973" t="inlineStr">
        <is>
          <t>No</t>
        </is>
      </c>
      <c r="U973" t="n">
        <v>41</v>
      </c>
      <c r="V973" t="inlineStr">
        <is>
          <t>Failed</t>
        </is>
      </c>
      <c r="W973" t="n">
        <v>5</v>
      </c>
      <c r="X973" t="inlineStr">
        <is>
          <t>Damaged Package</t>
        </is>
      </c>
    </row>
    <row r="974">
      <c r="A974" t="inlineStr">
        <is>
          <t>ORD-2026-00973</t>
        </is>
      </c>
      <c r="B974" t="inlineStr">
        <is>
          <t>CUST-0187</t>
        </is>
      </c>
      <c r="C974" s="3" t="n">
        <v>46057</v>
      </c>
      <c r="D974" s="3" t="n">
        <v>46065</v>
      </c>
      <c r="E974" s="3" t="n">
        <v>46065</v>
      </c>
      <c r="F974" t="inlineStr">
        <is>
          <t>Kolkata</t>
        </is>
      </c>
      <c r="G974" t="inlineStr">
        <is>
          <t>Surat</t>
        </is>
      </c>
      <c r="H974" t="inlineStr">
        <is>
          <t>Maersk</t>
        </is>
      </c>
      <c r="I974" t="inlineStr">
        <is>
          <t>Container</t>
        </is>
      </c>
      <c r="J974" t="inlineStr">
        <is>
          <t>High</t>
        </is>
      </c>
      <c r="K974" t="inlineStr">
        <is>
          <t>Delivered</t>
        </is>
      </c>
      <c r="L974" t="n">
        <v>1702.72</v>
      </c>
      <c r="M974" t="n">
        <v>1044</v>
      </c>
      <c r="N974" t="n">
        <v>29.48</v>
      </c>
      <c r="O974" t="n">
        <v>1686.69</v>
      </c>
      <c r="P974" t="n">
        <v>152.52</v>
      </c>
      <c r="Q974">
        <f>ROUND(L974*M974*N974/1000+O974+P974,2)</f>
        <v/>
      </c>
      <c r="R974" t="inlineStr">
        <is>
          <t>Yes</t>
        </is>
      </c>
      <c r="S974">
        <f>IF(OR(E974="",D974=""),"",MAX(0,E974-D974))</f>
        <v/>
      </c>
      <c r="T974" t="inlineStr">
        <is>
          <t>Yes</t>
        </is>
      </c>
      <c r="U974" t="n">
        <v>35</v>
      </c>
      <c r="V974" t="inlineStr">
        <is>
          <t>Pending</t>
        </is>
      </c>
      <c r="W974" t="n">
        <v>2</v>
      </c>
      <c r="X974" t="inlineStr">
        <is>
          <t>Customer Unavailable</t>
        </is>
      </c>
    </row>
    <row r="975">
      <c r="A975" t="inlineStr">
        <is>
          <t>ORD-2026-00974</t>
        </is>
      </c>
      <c r="B975" t="inlineStr">
        <is>
          <t>CUST-0166</t>
        </is>
      </c>
      <c r="C975" s="3" t="n">
        <v>46165</v>
      </c>
      <c r="D975" s="3" t="n">
        <v>46169</v>
      </c>
      <c r="E975" s="3" t="n">
        <v>46170</v>
      </c>
      <c r="F975" t="inlineStr">
        <is>
          <t>Surat</t>
        </is>
      </c>
      <c r="G975" t="inlineStr">
        <is>
          <t>Jaipur</t>
        </is>
      </c>
      <c r="H975" t="inlineStr">
        <is>
          <t>BlueDart</t>
        </is>
      </c>
      <c r="I975" t="inlineStr">
        <is>
          <t>Container</t>
        </is>
      </c>
      <c r="J975" t="inlineStr">
        <is>
          <t>Normal</t>
        </is>
      </c>
      <c r="K975" t="inlineStr">
        <is>
          <t>Delivered</t>
        </is>
      </c>
      <c r="L975" t="n">
        <v>589.05</v>
      </c>
      <c r="M975" t="n">
        <v>2331</v>
      </c>
      <c r="N975" t="n">
        <v>53.16</v>
      </c>
      <c r="O975" t="n">
        <v>2850.87</v>
      </c>
      <c r="P975" t="n">
        <v>186.84</v>
      </c>
      <c r="Q975">
        <f>ROUND(L975*M975*N975/1000+O975+P975,2)</f>
        <v/>
      </c>
      <c r="R975" t="inlineStr">
        <is>
          <t>No</t>
        </is>
      </c>
      <c r="S975">
        <f>IF(OR(E975="",D975=""),"",MAX(0,E975-D975))</f>
        <v/>
      </c>
      <c r="T975" t="inlineStr">
        <is>
          <t>Yes</t>
        </is>
      </c>
      <c r="U975" t="n">
        <v>23</v>
      </c>
      <c r="V975" t="inlineStr">
        <is>
          <t>Paid</t>
        </is>
      </c>
      <c r="W975" t="n">
        <v>5</v>
      </c>
      <c r="X975" t="inlineStr">
        <is>
          <t>Customs</t>
        </is>
      </c>
    </row>
    <row r="976">
      <c r="A976" t="inlineStr">
        <is>
          <t>ORD-2026-00975</t>
        </is>
      </c>
      <c r="B976" t="inlineStr">
        <is>
          <t>CUST-0134</t>
        </is>
      </c>
      <c r="C976" s="3" t="n">
        <v>46077</v>
      </c>
      <c r="D976" s="3" t="n">
        <v>46080</v>
      </c>
      <c r="E976" s="3" t="n"/>
      <c r="F976" t="inlineStr">
        <is>
          <t>Chennai</t>
        </is>
      </c>
      <c r="G976" t="inlineStr">
        <is>
          <t>Jaipur</t>
        </is>
      </c>
      <c r="H976" t="inlineStr">
        <is>
          <t>Delhivery</t>
        </is>
      </c>
      <c r="I976" t="inlineStr">
        <is>
          <t>Container</t>
        </is>
      </c>
      <c r="J976" t="inlineStr">
        <is>
          <t>Low</t>
        </is>
      </c>
      <c r="K976" t="inlineStr">
        <is>
          <t>In Transit</t>
        </is>
      </c>
      <c r="L976" t="n">
        <v>37.75</v>
      </c>
      <c r="M976" t="n">
        <v>947</v>
      </c>
      <c r="N976" t="n">
        <v>18.02</v>
      </c>
      <c r="O976" t="n">
        <v>19.41</v>
      </c>
      <c r="P976" t="n">
        <v>113.29</v>
      </c>
      <c r="Q976">
        <f>ROUND(L976*M976*N976/1000+O976+P976,2)</f>
        <v/>
      </c>
      <c r="R976" t="inlineStr">
        <is>
          <t>No</t>
        </is>
      </c>
      <c r="S976">
        <f>IF(OR(E976="",D976=""),"",MAX(0,E976-D976))</f>
        <v/>
      </c>
      <c r="T976" t="inlineStr">
        <is>
          <t>Yes</t>
        </is>
      </c>
      <c r="U976" t="n">
        <v>4</v>
      </c>
      <c r="V976" t="inlineStr">
        <is>
          <t>Failed</t>
        </is>
      </c>
      <c r="W976" t="n">
        <v>4</v>
      </c>
      <c r="X976" t="inlineStr">
        <is>
          <t>None</t>
        </is>
      </c>
    </row>
    <row r="977">
      <c r="A977" t="inlineStr">
        <is>
          <t>ORD-2026-00976</t>
        </is>
      </c>
      <c r="B977" t="inlineStr">
        <is>
          <t>CUST-0142</t>
        </is>
      </c>
      <c r="C977" s="3" t="n">
        <v>46025</v>
      </c>
      <c r="D977" s="3" t="n">
        <v>46027</v>
      </c>
      <c r="E977" s="3" t="n">
        <v>46029</v>
      </c>
      <c r="F977" t="inlineStr">
        <is>
          <t>Pune</t>
        </is>
      </c>
      <c r="G977" t="inlineStr">
        <is>
          <t>Hyderabad</t>
        </is>
      </c>
      <c r="H977" t="inlineStr">
        <is>
          <t>Maersk</t>
        </is>
      </c>
      <c r="I977" t="inlineStr">
        <is>
          <t>Truck</t>
        </is>
      </c>
      <c r="J977" t="inlineStr">
        <is>
          <t>Low</t>
        </is>
      </c>
      <c r="K977" t="inlineStr">
        <is>
          <t>Delivered</t>
        </is>
      </c>
      <c r="L977" t="n">
        <v>959.6</v>
      </c>
      <c r="M977" t="n">
        <v>385</v>
      </c>
      <c r="N977" t="n">
        <v>24.46</v>
      </c>
      <c r="O977" t="n">
        <v>768.4400000000001</v>
      </c>
      <c r="P977" t="n">
        <v>368.14</v>
      </c>
      <c r="Q977">
        <f>ROUND(L977*M977*N977/1000+O977+P977,2)</f>
        <v/>
      </c>
      <c r="R977" t="inlineStr">
        <is>
          <t>No</t>
        </is>
      </c>
      <c r="S977">
        <f>IF(OR(E977="",D977=""),"",MAX(0,E977-D977))</f>
        <v/>
      </c>
      <c r="T977" t="inlineStr">
        <is>
          <t>Yes</t>
        </is>
      </c>
      <c r="U977" t="n">
        <v>62</v>
      </c>
      <c r="V977" t="inlineStr">
        <is>
          <t>COD</t>
        </is>
      </c>
      <c r="W977" t="n">
        <v>4</v>
      </c>
      <c r="X977" t="inlineStr">
        <is>
          <t>Customer Unavailable</t>
        </is>
      </c>
    </row>
    <row r="978">
      <c r="A978" t="inlineStr">
        <is>
          <t>ORD-2026-00977</t>
        </is>
      </c>
      <c r="B978" t="inlineStr">
        <is>
          <t>CUST-0001</t>
        </is>
      </c>
      <c r="C978" s="3" t="n">
        <v>46215</v>
      </c>
      <c r="D978" s="3" t="n">
        <v>46218</v>
      </c>
      <c r="E978" s="3" t="n">
        <v>46218</v>
      </c>
      <c r="F978" t="inlineStr">
        <is>
          <t>Bengaluru</t>
        </is>
      </c>
      <c r="G978" t="inlineStr">
        <is>
          <t>Ahmedabad</t>
        </is>
      </c>
      <c r="H978" t="inlineStr">
        <is>
          <t>Delhivery</t>
        </is>
      </c>
      <c r="I978" t="inlineStr">
        <is>
          <t>Container</t>
        </is>
      </c>
      <c r="J978" t="inlineStr">
        <is>
          <t>Normal</t>
        </is>
      </c>
      <c r="K978" t="inlineStr">
        <is>
          <t>Delivered</t>
        </is>
      </c>
      <c r="L978" t="n">
        <v>2165.95</v>
      </c>
      <c r="M978" t="n">
        <v>2416</v>
      </c>
      <c r="N978" t="n">
        <v>26.03</v>
      </c>
      <c r="O978" t="n">
        <v>9613.51</v>
      </c>
      <c r="P978" t="n">
        <v>164.53</v>
      </c>
      <c r="Q978">
        <f>ROUND(L978*M978*N978/1000+O978+P978,2)</f>
        <v/>
      </c>
      <c r="R978" t="inlineStr">
        <is>
          <t>Yes</t>
        </is>
      </c>
      <c r="S978">
        <f>IF(OR(E978="",D978=""),"",MAX(0,E978-D978))</f>
        <v/>
      </c>
      <c r="T978" t="inlineStr">
        <is>
          <t>Yes</t>
        </is>
      </c>
      <c r="U978" t="n">
        <v>48</v>
      </c>
      <c r="V978" t="inlineStr">
        <is>
          <t>COD</t>
        </is>
      </c>
      <c r="W978" t="n">
        <v>3</v>
      </c>
      <c r="X978" t="inlineStr">
        <is>
          <t>Damaged Package</t>
        </is>
      </c>
    </row>
    <row r="979">
      <c r="A979" t="inlineStr">
        <is>
          <t>ORD-2026-00978</t>
        </is>
      </c>
      <c r="B979" t="inlineStr">
        <is>
          <t>CUST-0109</t>
        </is>
      </c>
      <c r="C979" s="3" t="n">
        <v>46173</v>
      </c>
      <c r="D979" s="3" t="n">
        <v>46180</v>
      </c>
      <c r="E979" s="3" t="n"/>
      <c r="F979" t="inlineStr">
        <is>
          <t>Pune</t>
        </is>
      </c>
      <c r="G979" t="inlineStr">
        <is>
          <t>Mumbai</t>
        </is>
      </c>
      <c r="H979" t="inlineStr">
        <is>
          <t>BlueDart</t>
        </is>
      </c>
      <c r="I979" t="inlineStr">
        <is>
          <t>Van</t>
        </is>
      </c>
      <c r="J979" t="inlineStr">
        <is>
          <t>Critical</t>
        </is>
      </c>
      <c r="K979" t="inlineStr">
        <is>
          <t>In Transit</t>
        </is>
      </c>
      <c r="L979" t="n">
        <v>2257.4</v>
      </c>
      <c r="M979" t="n">
        <v>193</v>
      </c>
      <c r="N979" t="n">
        <v>32.85</v>
      </c>
      <c r="O979" t="n">
        <v>1264.42</v>
      </c>
      <c r="P979" t="n">
        <v>1009.29</v>
      </c>
      <c r="Q979">
        <f>ROUND(L979*M979*N979/1000+O979+P979,2)</f>
        <v/>
      </c>
      <c r="R979" t="inlineStr">
        <is>
          <t>No</t>
        </is>
      </c>
      <c r="S979">
        <f>IF(OR(E979="",D979=""),"",MAX(0,E979-D979))</f>
        <v/>
      </c>
      <c r="T979" t="inlineStr">
        <is>
          <t>No</t>
        </is>
      </c>
      <c r="U979" t="n">
        <v>39</v>
      </c>
      <c r="V979" t="inlineStr">
        <is>
          <t>Paid</t>
        </is>
      </c>
      <c r="W979" t="n">
        <v>1</v>
      </c>
      <c r="X979" t="inlineStr">
        <is>
          <t>Damaged Package</t>
        </is>
      </c>
    </row>
    <row r="980">
      <c r="A980" t="inlineStr">
        <is>
          <t>ORD-2026-00979</t>
        </is>
      </c>
      <c r="B980" t="inlineStr">
        <is>
          <t>CUST-0069</t>
        </is>
      </c>
      <c r="C980" s="3" t="n">
        <v>46238</v>
      </c>
      <c r="D980" s="3" t="n">
        <v>46242</v>
      </c>
      <c r="E980" s="3" t="n"/>
      <c r="F980" t="inlineStr">
        <is>
          <t>Kolkata</t>
        </is>
      </c>
      <c r="G980" t="inlineStr">
        <is>
          <t>Jaipur</t>
        </is>
      </c>
      <c r="H980" t="inlineStr">
        <is>
          <t>BlueDart</t>
        </is>
      </c>
      <c r="I980" t="inlineStr">
        <is>
          <t>Bike</t>
        </is>
      </c>
      <c r="J980" t="inlineStr">
        <is>
          <t>Low</t>
        </is>
      </c>
      <c r="K980" t="inlineStr">
        <is>
          <t>Exception</t>
        </is>
      </c>
      <c r="L980" t="n">
        <v>1354.36</v>
      </c>
      <c r="M980" t="n">
        <v>416</v>
      </c>
      <c r="N980" t="n">
        <v>30.73</v>
      </c>
      <c r="O980" t="n">
        <v>1369.11</v>
      </c>
      <c r="P980" t="n">
        <v>1376.14</v>
      </c>
      <c r="Q980">
        <f>ROUND(L980*M980*N980/1000+O980+P980,2)</f>
        <v/>
      </c>
      <c r="R980" t="inlineStr">
        <is>
          <t>No</t>
        </is>
      </c>
      <c r="S980">
        <f>IF(OR(E980="",D980=""),"",MAX(0,E980-D980))</f>
        <v/>
      </c>
      <c r="T980" t="inlineStr">
        <is>
          <t>No</t>
        </is>
      </c>
      <c r="U980" t="n">
        <v>72</v>
      </c>
      <c r="V980" t="inlineStr">
        <is>
          <t>Pending</t>
        </is>
      </c>
      <c r="W980" t="n">
        <v>4</v>
      </c>
      <c r="X980" t="inlineStr">
        <is>
          <t>Weather</t>
        </is>
      </c>
    </row>
    <row r="981">
      <c r="A981" t="inlineStr">
        <is>
          <t>ORD-2026-00980</t>
        </is>
      </c>
      <c r="B981" t="inlineStr">
        <is>
          <t>CUST-0118</t>
        </is>
      </c>
      <c r="C981" s="3" t="n">
        <v>46163</v>
      </c>
      <c r="D981" s="3" t="n">
        <v>46167</v>
      </c>
      <c r="E981" s="3" t="n">
        <v>46167</v>
      </c>
      <c r="F981" t="inlineStr">
        <is>
          <t>Ahmedabad</t>
        </is>
      </c>
      <c r="G981" t="inlineStr">
        <is>
          <t>Surat</t>
        </is>
      </c>
      <c r="H981" t="inlineStr">
        <is>
          <t>DHL</t>
        </is>
      </c>
      <c r="I981" t="inlineStr">
        <is>
          <t>Bike</t>
        </is>
      </c>
      <c r="J981" t="inlineStr">
        <is>
          <t>Critical</t>
        </is>
      </c>
      <c r="K981" t="inlineStr">
        <is>
          <t>Delivered</t>
        </is>
      </c>
      <c r="L981" t="n">
        <v>1335.97</v>
      </c>
      <c r="M981" t="n">
        <v>2329</v>
      </c>
      <c r="N981" t="n">
        <v>40.18</v>
      </c>
      <c r="O981" t="n">
        <v>6790.46</v>
      </c>
      <c r="P981" t="n">
        <v>594.85</v>
      </c>
      <c r="Q981">
        <f>ROUND(L981*M981*N981/1000+O981+P981,2)</f>
        <v/>
      </c>
      <c r="R981" t="inlineStr">
        <is>
          <t>Yes</t>
        </is>
      </c>
      <c r="S981">
        <f>IF(OR(E981="",D981=""),"",MAX(0,E981-D981))</f>
        <v/>
      </c>
      <c r="T981" t="inlineStr">
        <is>
          <t>Yes</t>
        </is>
      </c>
      <c r="U981" t="n">
        <v>61</v>
      </c>
      <c r="V981" t="inlineStr">
        <is>
          <t>Failed</t>
        </is>
      </c>
      <c r="W981" t="n">
        <v>5</v>
      </c>
      <c r="X981" t="inlineStr">
        <is>
          <t>None</t>
        </is>
      </c>
    </row>
    <row r="982">
      <c r="A982" t="inlineStr">
        <is>
          <t>ORD-2026-00981</t>
        </is>
      </c>
      <c r="B982" t="inlineStr">
        <is>
          <t>CUST-0006</t>
        </is>
      </c>
      <c r="C982" s="3" t="n">
        <v>46116</v>
      </c>
      <c r="D982" s="3" t="n">
        <v>46117</v>
      </c>
      <c r="E982" s="3" t="n">
        <v>46117</v>
      </c>
      <c r="F982" t="inlineStr">
        <is>
          <t>Kolkata</t>
        </is>
      </c>
      <c r="G982" t="inlineStr">
        <is>
          <t>Bengaluru</t>
        </is>
      </c>
      <c r="H982" t="inlineStr">
        <is>
          <t>DHL</t>
        </is>
      </c>
      <c r="I982" t="inlineStr">
        <is>
          <t>Van</t>
        </is>
      </c>
      <c r="J982" t="inlineStr">
        <is>
          <t>Low</t>
        </is>
      </c>
      <c r="K982" t="inlineStr">
        <is>
          <t>Delivered</t>
        </is>
      </c>
      <c r="L982" t="n">
        <v>451.93</v>
      </c>
      <c r="M982" t="n">
        <v>1862</v>
      </c>
      <c r="N982" t="n">
        <v>56.1</v>
      </c>
      <c r="O982" t="n">
        <v>3028.9</v>
      </c>
      <c r="P982" t="n">
        <v>1347.25</v>
      </c>
      <c r="Q982">
        <f>ROUND(L982*M982*N982/1000+O982+P982,2)</f>
        <v/>
      </c>
      <c r="R982" t="inlineStr">
        <is>
          <t>Yes</t>
        </is>
      </c>
      <c r="S982">
        <f>IF(OR(E982="",D982=""),"",MAX(0,E982-D982))</f>
        <v/>
      </c>
      <c r="T982" t="inlineStr">
        <is>
          <t>Yes</t>
        </is>
      </c>
      <c r="U982" t="n">
        <v>56</v>
      </c>
      <c r="V982" t="inlineStr">
        <is>
          <t>COD</t>
        </is>
      </c>
      <c r="W982" t="n">
        <v>4</v>
      </c>
      <c r="X982" t="inlineStr">
        <is>
          <t>Customer Unavailable</t>
        </is>
      </c>
    </row>
    <row r="983">
      <c r="A983" t="inlineStr">
        <is>
          <t>ORD-2026-00982</t>
        </is>
      </c>
      <c r="B983" t="inlineStr">
        <is>
          <t>CUST-0240</t>
        </is>
      </c>
      <c r="C983" s="3" t="n">
        <v>46184</v>
      </c>
      <c r="D983" s="3" t="n">
        <v>46187</v>
      </c>
      <c r="E983" s="3" t="n">
        <v>46187</v>
      </c>
      <c r="F983" t="inlineStr">
        <is>
          <t>Delhi</t>
        </is>
      </c>
      <c r="G983" t="inlineStr">
        <is>
          <t>Mumbai</t>
        </is>
      </c>
      <c r="H983" t="inlineStr">
        <is>
          <t>Aramex</t>
        </is>
      </c>
      <c r="I983" t="inlineStr">
        <is>
          <t>Container</t>
        </is>
      </c>
      <c r="J983" t="inlineStr">
        <is>
          <t>High</t>
        </is>
      </c>
      <c r="K983" t="inlineStr">
        <is>
          <t>Delivered</t>
        </is>
      </c>
      <c r="L983" t="n">
        <v>197.11</v>
      </c>
      <c r="M983" t="n">
        <v>28</v>
      </c>
      <c r="N983" t="n">
        <v>51.38</v>
      </c>
      <c r="O983" t="n">
        <v>25.19</v>
      </c>
      <c r="P983" t="n">
        <v>866.03</v>
      </c>
      <c r="Q983">
        <f>ROUND(L983*M983*N983/1000+O983+P983,2)</f>
        <v/>
      </c>
      <c r="R983" t="inlineStr">
        <is>
          <t>Yes</t>
        </is>
      </c>
      <c r="S983">
        <f>IF(OR(E983="",D983=""),"",MAX(0,E983-D983))</f>
        <v/>
      </c>
      <c r="T983" t="inlineStr">
        <is>
          <t>No</t>
        </is>
      </c>
      <c r="U983" t="n">
        <v>66</v>
      </c>
      <c r="V983" t="inlineStr">
        <is>
          <t>COD</t>
        </is>
      </c>
      <c r="W983" t="n">
        <v>1</v>
      </c>
      <c r="X983" t="inlineStr">
        <is>
          <t>Weather</t>
        </is>
      </c>
    </row>
    <row r="984">
      <c r="A984" t="inlineStr">
        <is>
          <t>ORD-2026-00983</t>
        </is>
      </c>
      <c r="B984" t="inlineStr">
        <is>
          <t>CUST-0025</t>
        </is>
      </c>
      <c r="C984" s="3" t="n">
        <v>46147</v>
      </c>
      <c r="D984" s="3" t="n">
        <v>46155</v>
      </c>
      <c r="E984" s="3" t="n">
        <v>46155</v>
      </c>
      <c r="F984" t="inlineStr">
        <is>
          <t>Surat</t>
        </is>
      </c>
      <c r="G984" t="inlineStr">
        <is>
          <t>Surat</t>
        </is>
      </c>
      <c r="H984" t="inlineStr">
        <is>
          <t>DHL</t>
        </is>
      </c>
      <c r="I984" t="inlineStr">
        <is>
          <t>Refrigerated Truck</t>
        </is>
      </c>
      <c r="J984" t="inlineStr">
        <is>
          <t>Low</t>
        </is>
      </c>
      <c r="K984" t="inlineStr">
        <is>
          <t>Delivered</t>
        </is>
      </c>
      <c r="L984" t="n">
        <v>1870.01</v>
      </c>
      <c r="M984" t="n">
        <v>2004</v>
      </c>
      <c r="N984" t="n">
        <v>24.92</v>
      </c>
      <c r="O984" t="n">
        <v>6175.48</v>
      </c>
      <c r="P984" t="n">
        <v>1180.41</v>
      </c>
      <c r="Q984">
        <f>ROUND(L984*M984*N984/1000+O984+P984,2)</f>
        <v/>
      </c>
      <c r="R984" t="inlineStr">
        <is>
          <t>Yes</t>
        </is>
      </c>
      <c r="S984">
        <f>IF(OR(E984="",D984=""),"",MAX(0,E984-D984))</f>
        <v/>
      </c>
      <c r="T984" t="inlineStr">
        <is>
          <t>No</t>
        </is>
      </c>
      <c r="U984" t="n">
        <v>18</v>
      </c>
      <c r="V984" t="inlineStr">
        <is>
          <t>Failed</t>
        </is>
      </c>
      <c r="W984" t="n">
        <v>3</v>
      </c>
      <c r="X984" t="inlineStr">
        <is>
          <t>Address Error</t>
        </is>
      </c>
    </row>
    <row r="985">
      <c r="A985" t="inlineStr">
        <is>
          <t>ORD-2026-00984</t>
        </is>
      </c>
      <c r="B985" t="inlineStr">
        <is>
          <t>CUST-0234</t>
        </is>
      </c>
      <c r="C985" s="3" t="n">
        <v>46064</v>
      </c>
      <c r="D985" s="3" t="n">
        <v>46067</v>
      </c>
      <c r="E985" s="3" t="n">
        <v>46068</v>
      </c>
      <c r="F985" t="inlineStr">
        <is>
          <t>Pune</t>
        </is>
      </c>
      <c r="G985" t="inlineStr">
        <is>
          <t>Hyderabad</t>
        </is>
      </c>
      <c r="H985" t="inlineStr">
        <is>
          <t>FedEx</t>
        </is>
      </c>
      <c r="I985" t="inlineStr">
        <is>
          <t>Truck</t>
        </is>
      </c>
      <c r="J985" t="inlineStr">
        <is>
          <t>Low</t>
        </is>
      </c>
      <c r="K985" t="inlineStr">
        <is>
          <t>Delivered</t>
        </is>
      </c>
      <c r="L985" t="n">
        <v>1280.81</v>
      </c>
      <c r="M985" t="n">
        <v>309</v>
      </c>
      <c r="N985" t="n">
        <v>33.61</v>
      </c>
      <c r="O985" t="n">
        <v>1046.45</v>
      </c>
      <c r="P985" t="n">
        <v>1324.83</v>
      </c>
      <c r="Q985">
        <f>ROUND(L985*M985*N985/1000+O985+P985,2)</f>
        <v/>
      </c>
      <c r="R985" t="inlineStr">
        <is>
          <t>No</t>
        </is>
      </c>
      <c r="S985">
        <f>IF(OR(E985="",D985=""),"",MAX(0,E985-D985))</f>
        <v/>
      </c>
      <c r="T985" t="inlineStr">
        <is>
          <t>No</t>
        </is>
      </c>
      <c r="U985" t="n">
        <v>38</v>
      </c>
      <c r="V985" t="inlineStr">
        <is>
          <t>COD</t>
        </is>
      </c>
      <c r="W985" t="n">
        <v>4</v>
      </c>
      <c r="X985" t="inlineStr">
        <is>
          <t>Customer Unavailable</t>
        </is>
      </c>
    </row>
    <row r="986">
      <c r="A986" t="inlineStr">
        <is>
          <t>ORD-2026-00985</t>
        </is>
      </c>
      <c r="B986" t="inlineStr">
        <is>
          <t>CUST-0213</t>
        </is>
      </c>
      <c r="C986" s="3" t="n">
        <v>46236</v>
      </c>
      <c r="D986" s="3" t="n">
        <v>46237</v>
      </c>
      <c r="E986" s="3" t="n">
        <v>46237</v>
      </c>
      <c r="F986" t="inlineStr">
        <is>
          <t>Ahmedabad</t>
        </is>
      </c>
      <c r="G986" t="inlineStr">
        <is>
          <t>Kolkata</t>
        </is>
      </c>
      <c r="H986" t="inlineStr">
        <is>
          <t>BlueDart</t>
        </is>
      </c>
      <c r="I986" t="inlineStr">
        <is>
          <t>Van</t>
        </is>
      </c>
      <c r="J986" t="inlineStr">
        <is>
          <t>Low</t>
        </is>
      </c>
      <c r="K986" t="inlineStr">
        <is>
          <t>Delivered</t>
        </is>
      </c>
      <c r="L986" t="n">
        <v>316.48</v>
      </c>
      <c r="M986" t="n">
        <v>2372</v>
      </c>
      <c r="N986" t="n">
        <v>16.07</v>
      </c>
      <c r="O986" t="n">
        <v>973.22</v>
      </c>
      <c r="P986" t="n">
        <v>563.41</v>
      </c>
      <c r="Q986">
        <f>ROUND(L986*M986*N986/1000+O986+P986,2)</f>
        <v/>
      </c>
      <c r="R986" t="inlineStr">
        <is>
          <t>Yes</t>
        </is>
      </c>
      <c r="S986">
        <f>IF(OR(E986="",D986=""),"",MAX(0,E986-D986))</f>
        <v/>
      </c>
      <c r="T986" t="inlineStr">
        <is>
          <t>No</t>
        </is>
      </c>
      <c r="U986" t="n">
        <v>29</v>
      </c>
      <c r="V986" t="inlineStr">
        <is>
          <t>COD</t>
        </is>
      </c>
      <c r="W986" t="n">
        <v>4</v>
      </c>
      <c r="X986" t="inlineStr">
        <is>
          <t>Vehicle Breakdown</t>
        </is>
      </c>
    </row>
    <row r="987">
      <c r="A987" t="inlineStr">
        <is>
          <t>ORD-2026-00986</t>
        </is>
      </c>
      <c r="B987" t="inlineStr">
        <is>
          <t>CUST-0157</t>
        </is>
      </c>
      <c r="C987" s="3" t="n">
        <v>46036</v>
      </c>
      <c r="D987" s="3" t="n">
        <v>46044</v>
      </c>
      <c r="E987" s="3" t="n">
        <v>46044</v>
      </c>
      <c r="F987" t="inlineStr">
        <is>
          <t>Hyderabad</t>
        </is>
      </c>
      <c r="G987" t="inlineStr">
        <is>
          <t>Pune</t>
        </is>
      </c>
      <c r="H987" t="inlineStr">
        <is>
          <t>BlueDart</t>
        </is>
      </c>
      <c r="I987" t="inlineStr">
        <is>
          <t>Van</t>
        </is>
      </c>
      <c r="J987" t="inlineStr">
        <is>
          <t>Low</t>
        </is>
      </c>
      <c r="K987" t="inlineStr">
        <is>
          <t>Delivered</t>
        </is>
      </c>
      <c r="L987" t="n">
        <v>696.48</v>
      </c>
      <c r="M987" t="n">
        <v>1930</v>
      </c>
      <c r="N987" t="n">
        <v>64.54000000000001</v>
      </c>
      <c r="O987" t="n">
        <v>5221.43</v>
      </c>
      <c r="P987" t="n">
        <v>1380.92</v>
      </c>
      <c r="Q987">
        <f>ROUND(L987*M987*N987/1000+O987+P987,2)</f>
        <v/>
      </c>
      <c r="R987" t="inlineStr">
        <is>
          <t>Yes</t>
        </is>
      </c>
      <c r="S987">
        <f>IF(OR(E987="",D987=""),"",MAX(0,E987-D987))</f>
        <v/>
      </c>
      <c r="T987" t="inlineStr">
        <is>
          <t>No</t>
        </is>
      </c>
      <c r="U987" t="n">
        <v>67</v>
      </c>
      <c r="V987" t="inlineStr">
        <is>
          <t>Pending</t>
        </is>
      </c>
      <c r="W987" t="n">
        <v>2</v>
      </c>
      <c r="X987" t="inlineStr">
        <is>
          <t>Damaged Package</t>
        </is>
      </c>
    </row>
    <row r="988">
      <c r="A988" t="inlineStr">
        <is>
          <t>ORD-2026-00987</t>
        </is>
      </c>
      <c r="B988" t="inlineStr">
        <is>
          <t>CUST-0198</t>
        </is>
      </c>
      <c r="C988" s="3" t="n">
        <v>46090</v>
      </c>
      <c r="D988" s="3" t="n">
        <v>46098</v>
      </c>
      <c r="E988" s="3" t="n">
        <v>46098</v>
      </c>
      <c r="F988" t="inlineStr">
        <is>
          <t>Hyderabad</t>
        </is>
      </c>
      <c r="G988" t="inlineStr">
        <is>
          <t>Ahmedabad</t>
        </is>
      </c>
      <c r="H988" t="inlineStr">
        <is>
          <t>Delhivery</t>
        </is>
      </c>
      <c r="I988" t="inlineStr">
        <is>
          <t>Van</t>
        </is>
      </c>
      <c r="J988" t="inlineStr">
        <is>
          <t>Low</t>
        </is>
      </c>
      <c r="K988" t="inlineStr">
        <is>
          <t>Delivered</t>
        </is>
      </c>
      <c r="L988" t="n">
        <v>1049.5</v>
      </c>
      <c r="M988" t="n">
        <v>1600</v>
      </c>
      <c r="N988" t="n">
        <v>61.67</v>
      </c>
      <c r="O988" t="n">
        <v>6475.86</v>
      </c>
      <c r="P988" t="n">
        <v>1398.22</v>
      </c>
      <c r="Q988">
        <f>ROUND(L988*M988*N988/1000+O988+P988,2)</f>
        <v/>
      </c>
      <c r="R988" t="inlineStr">
        <is>
          <t>Yes</t>
        </is>
      </c>
      <c r="S988">
        <f>IF(OR(E988="",D988=""),"",MAX(0,E988-D988))</f>
        <v/>
      </c>
      <c r="T988" t="inlineStr">
        <is>
          <t>No</t>
        </is>
      </c>
      <c r="U988" t="n">
        <v>72</v>
      </c>
      <c r="V988" t="inlineStr">
        <is>
          <t>Paid</t>
        </is>
      </c>
      <c r="W988" t="n">
        <v>1</v>
      </c>
      <c r="X988" t="inlineStr">
        <is>
          <t>None</t>
        </is>
      </c>
    </row>
    <row r="989">
      <c r="A989" t="inlineStr">
        <is>
          <t>ORD-2026-00988</t>
        </is>
      </c>
      <c r="B989" t="inlineStr">
        <is>
          <t>CUST-0110</t>
        </is>
      </c>
      <c r="C989" s="3" t="n">
        <v>46170</v>
      </c>
      <c r="D989" s="3" t="n">
        <v>46176</v>
      </c>
      <c r="E989" s="3" t="n">
        <v>46186</v>
      </c>
      <c r="F989" t="inlineStr">
        <is>
          <t>Mumbai</t>
        </is>
      </c>
      <c r="G989" t="inlineStr">
        <is>
          <t>Ahmedabad</t>
        </is>
      </c>
      <c r="H989" t="inlineStr">
        <is>
          <t>Maersk</t>
        </is>
      </c>
      <c r="I989" t="inlineStr">
        <is>
          <t>Refrigerated Truck</t>
        </is>
      </c>
      <c r="J989" t="inlineStr">
        <is>
          <t>Normal</t>
        </is>
      </c>
      <c r="K989" t="inlineStr">
        <is>
          <t>Delivered</t>
        </is>
      </c>
      <c r="L989" t="n">
        <v>2109.68</v>
      </c>
      <c r="M989" t="n">
        <v>452</v>
      </c>
      <c r="N989" t="n">
        <v>63.92</v>
      </c>
      <c r="O989" t="n">
        <v>4231.1</v>
      </c>
      <c r="P989" t="n">
        <v>486.18</v>
      </c>
      <c r="Q989">
        <f>ROUND(L989*M989*N989/1000+O989+P989,2)</f>
        <v/>
      </c>
      <c r="R989" t="inlineStr">
        <is>
          <t>No</t>
        </is>
      </c>
      <c r="S989">
        <f>IF(OR(E989="",D989=""),"",MAX(0,E989-D989))</f>
        <v/>
      </c>
      <c r="T989" t="inlineStr">
        <is>
          <t>No</t>
        </is>
      </c>
      <c r="U989" t="n">
        <v>7</v>
      </c>
      <c r="V989" t="inlineStr">
        <is>
          <t>Pending</t>
        </is>
      </c>
      <c r="W989" t="n">
        <v>2</v>
      </c>
      <c r="X989" t="inlineStr">
        <is>
          <t>None</t>
        </is>
      </c>
    </row>
    <row r="990">
      <c r="A990" t="inlineStr">
        <is>
          <t>ORD-2026-00989</t>
        </is>
      </c>
      <c r="B990" t="inlineStr">
        <is>
          <t>CUST-0213</t>
        </is>
      </c>
      <c r="C990" s="3" t="n">
        <v>46031</v>
      </c>
      <c r="D990" s="3" t="n">
        <v>46039</v>
      </c>
      <c r="E990" s="3" t="n">
        <v>46039</v>
      </c>
      <c r="F990" t="inlineStr">
        <is>
          <t>Mumbai</t>
        </is>
      </c>
      <c r="G990" t="inlineStr">
        <is>
          <t>Surat</t>
        </is>
      </c>
      <c r="H990" t="inlineStr">
        <is>
          <t>DTDC</t>
        </is>
      </c>
      <c r="I990" t="inlineStr">
        <is>
          <t>Refrigerated Truck</t>
        </is>
      </c>
      <c r="J990" t="inlineStr">
        <is>
          <t>High</t>
        </is>
      </c>
      <c r="K990" t="inlineStr">
        <is>
          <t>Delivered</t>
        </is>
      </c>
      <c r="L990" t="n">
        <v>785.12</v>
      </c>
      <c r="M990" t="n">
        <v>65</v>
      </c>
      <c r="N990" t="n">
        <v>8.26</v>
      </c>
      <c r="O990" t="n">
        <v>24.88</v>
      </c>
      <c r="P990" t="n">
        <v>1360.96</v>
      </c>
      <c r="Q990">
        <f>ROUND(L990*M990*N990/1000+O990+P990,2)</f>
        <v/>
      </c>
      <c r="R990" t="inlineStr">
        <is>
          <t>Yes</t>
        </is>
      </c>
      <c r="S990">
        <f>IF(OR(E990="",D990=""),"",MAX(0,E990-D990))</f>
        <v/>
      </c>
      <c r="T990" t="inlineStr">
        <is>
          <t>No</t>
        </is>
      </c>
      <c r="U990" t="n">
        <v>30</v>
      </c>
      <c r="V990" t="inlineStr">
        <is>
          <t>Pending</t>
        </is>
      </c>
      <c r="W990" t="n">
        <v>5</v>
      </c>
      <c r="X990" t="inlineStr">
        <is>
          <t>Customs</t>
        </is>
      </c>
    </row>
    <row r="991">
      <c r="A991" t="inlineStr">
        <is>
          <t>ORD-2026-00990</t>
        </is>
      </c>
      <c r="B991" t="inlineStr">
        <is>
          <t>CUST-0121</t>
        </is>
      </c>
      <c r="C991" s="3" t="n">
        <v>46142</v>
      </c>
      <c r="D991" s="3" t="n">
        <v>46149</v>
      </c>
      <c r="E991" s="3" t="n">
        <v>46150</v>
      </c>
      <c r="F991" t="inlineStr">
        <is>
          <t>Mumbai</t>
        </is>
      </c>
      <c r="G991" t="inlineStr">
        <is>
          <t>Chennai</t>
        </is>
      </c>
      <c r="H991" t="inlineStr">
        <is>
          <t>Aramex</t>
        </is>
      </c>
      <c r="I991" t="inlineStr">
        <is>
          <t>Van</t>
        </is>
      </c>
      <c r="J991" t="inlineStr">
        <is>
          <t>Normal</t>
        </is>
      </c>
      <c r="K991" t="inlineStr">
        <is>
          <t>Delivered</t>
        </is>
      </c>
      <c r="L991" t="n">
        <v>2163.08</v>
      </c>
      <c r="M991" t="n">
        <v>1693</v>
      </c>
      <c r="N991" t="n">
        <v>27.64</v>
      </c>
      <c r="O991" t="n">
        <v>6651.25</v>
      </c>
      <c r="P991" t="n">
        <v>432.96</v>
      </c>
      <c r="Q991">
        <f>ROUND(L991*M991*N991/1000+O991+P991,2)</f>
        <v/>
      </c>
      <c r="R991" t="inlineStr">
        <is>
          <t>No</t>
        </is>
      </c>
      <c r="S991">
        <f>IF(OR(E991="",D991=""),"",MAX(0,E991-D991))</f>
        <v/>
      </c>
      <c r="T991" t="inlineStr">
        <is>
          <t>No</t>
        </is>
      </c>
      <c r="U991" t="n">
        <v>26</v>
      </c>
      <c r="V991" t="inlineStr">
        <is>
          <t>COD</t>
        </is>
      </c>
      <c r="W991" t="n">
        <v>5</v>
      </c>
      <c r="X991" t="inlineStr">
        <is>
          <t>None</t>
        </is>
      </c>
    </row>
    <row r="992">
      <c r="A992" t="inlineStr">
        <is>
          <t>ORD-2026-00991</t>
        </is>
      </c>
      <c r="B992" t="inlineStr">
        <is>
          <t>CUST-0018</t>
        </is>
      </c>
      <c r="C992" s="3" t="n">
        <v>46077</v>
      </c>
      <c r="D992" s="3" t="n">
        <v>46079</v>
      </c>
      <c r="E992" s="3" t="n">
        <v>46079</v>
      </c>
      <c r="F992" t="inlineStr">
        <is>
          <t>Jaipur</t>
        </is>
      </c>
      <c r="G992" t="inlineStr">
        <is>
          <t>Pune</t>
        </is>
      </c>
      <c r="H992" t="inlineStr">
        <is>
          <t>DHL</t>
        </is>
      </c>
      <c r="I992" t="inlineStr">
        <is>
          <t>Refrigerated Truck</t>
        </is>
      </c>
      <c r="J992" t="inlineStr">
        <is>
          <t>Critical</t>
        </is>
      </c>
      <c r="K992" t="inlineStr">
        <is>
          <t>Delivered</t>
        </is>
      </c>
      <c r="L992" t="n">
        <v>384.75</v>
      </c>
      <c r="M992" t="n">
        <v>2304</v>
      </c>
      <c r="N992" t="n">
        <v>45.85</v>
      </c>
      <c r="O992" t="n">
        <v>2202.8</v>
      </c>
      <c r="P992" t="n">
        <v>1033.21</v>
      </c>
      <c r="Q992">
        <f>ROUND(L992*M992*N992/1000+O992+P992,2)</f>
        <v/>
      </c>
      <c r="R992" t="inlineStr">
        <is>
          <t>Yes</t>
        </is>
      </c>
      <c r="S992">
        <f>IF(OR(E992="",D992=""),"",MAX(0,E992-D992))</f>
        <v/>
      </c>
      <c r="T992" t="inlineStr">
        <is>
          <t>No</t>
        </is>
      </c>
      <c r="U992" t="n">
        <v>68</v>
      </c>
      <c r="V992" t="inlineStr">
        <is>
          <t>Pending</t>
        </is>
      </c>
      <c r="W992" t="n">
        <v>3</v>
      </c>
      <c r="X992" t="inlineStr">
        <is>
          <t>Customer Unavailable</t>
        </is>
      </c>
    </row>
    <row r="993">
      <c r="A993" t="inlineStr">
        <is>
          <t>ORD-2026-00992</t>
        </is>
      </c>
      <c r="B993" t="inlineStr">
        <is>
          <t>CUST-0151</t>
        </is>
      </c>
      <c r="C993" s="3" t="n">
        <v>46061</v>
      </c>
      <c r="D993" s="3" t="n">
        <v>46068</v>
      </c>
      <c r="E993" s="3" t="n">
        <v>46068</v>
      </c>
      <c r="F993" t="inlineStr">
        <is>
          <t>Surat</t>
        </is>
      </c>
      <c r="G993" t="inlineStr">
        <is>
          <t>Bengaluru</t>
        </is>
      </c>
      <c r="H993" t="inlineStr">
        <is>
          <t>Maersk</t>
        </is>
      </c>
      <c r="I993" t="inlineStr">
        <is>
          <t>Refrigerated Truck</t>
        </is>
      </c>
      <c r="J993" t="inlineStr">
        <is>
          <t>High</t>
        </is>
      </c>
      <c r="K993" t="inlineStr">
        <is>
          <t>Delivered</t>
        </is>
      </c>
      <c r="L993" t="n">
        <v>682.88</v>
      </c>
      <c r="M993" t="n">
        <v>2240</v>
      </c>
      <c r="N993" t="n">
        <v>32.82</v>
      </c>
      <c r="O993" t="n">
        <v>3751.18</v>
      </c>
      <c r="P993" t="n">
        <v>682.75</v>
      </c>
      <c r="Q993">
        <f>ROUND(L993*M993*N993/1000+O993+P993,2)</f>
        <v/>
      </c>
      <c r="R993" t="inlineStr">
        <is>
          <t>Yes</t>
        </is>
      </c>
      <c r="S993">
        <f>IF(OR(E993="",D993=""),"",MAX(0,E993-D993))</f>
        <v/>
      </c>
      <c r="T993" t="inlineStr">
        <is>
          <t>Yes</t>
        </is>
      </c>
      <c r="U993" t="n">
        <v>71</v>
      </c>
      <c r="V993" t="inlineStr">
        <is>
          <t>COD</t>
        </is>
      </c>
      <c r="W993" t="n">
        <v>2</v>
      </c>
      <c r="X993" t="inlineStr">
        <is>
          <t>Vehicle Breakdown</t>
        </is>
      </c>
    </row>
    <row r="994">
      <c r="A994" t="inlineStr">
        <is>
          <t>ORD-2026-00993</t>
        </is>
      </c>
      <c r="B994" t="inlineStr">
        <is>
          <t>CUST-0086</t>
        </is>
      </c>
      <c r="C994" s="3" t="n">
        <v>46227</v>
      </c>
      <c r="D994" s="3" t="n">
        <v>46231</v>
      </c>
      <c r="E994" s="3" t="n">
        <v>46231</v>
      </c>
      <c r="F994" t="inlineStr">
        <is>
          <t>Ahmedabad</t>
        </is>
      </c>
      <c r="G994" t="inlineStr">
        <is>
          <t>Jaipur</t>
        </is>
      </c>
      <c r="H994" t="inlineStr">
        <is>
          <t>Aramex</t>
        </is>
      </c>
      <c r="I994" t="inlineStr">
        <is>
          <t>Container</t>
        </is>
      </c>
      <c r="J994" t="inlineStr">
        <is>
          <t>High</t>
        </is>
      </c>
      <c r="K994" t="inlineStr">
        <is>
          <t>Delivered</t>
        </is>
      </c>
      <c r="L994" t="n">
        <v>2269.43</v>
      </c>
      <c r="M994" t="n">
        <v>1225</v>
      </c>
      <c r="N994" t="n">
        <v>31.14</v>
      </c>
      <c r="O994" t="n">
        <v>3313.41</v>
      </c>
      <c r="P994" t="n">
        <v>90.2</v>
      </c>
      <c r="Q994">
        <f>ROUND(L994*M994*N994/1000+O994+P994,2)</f>
        <v/>
      </c>
      <c r="R994" t="inlineStr">
        <is>
          <t>Yes</t>
        </is>
      </c>
      <c r="S994">
        <f>IF(OR(E994="",D994=""),"",MAX(0,E994-D994))</f>
        <v/>
      </c>
      <c r="T994" t="inlineStr">
        <is>
          <t>Yes</t>
        </is>
      </c>
      <c r="U994" t="n">
        <v>51</v>
      </c>
      <c r="V994" t="inlineStr">
        <is>
          <t>COD</t>
        </is>
      </c>
      <c r="W994" t="n">
        <v>4</v>
      </c>
      <c r="X994" t="inlineStr">
        <is>
          <t>Customs</t>
        </is>
      </c>
    </row>
    <row r="995">
      <c r="A995" t="inlineStr">
        <is>
          <t>ORD-2026-00994</t>
        </is>
      </c>
      <c r="B995" t="inlineStr">
        <is>
          <t>CUST-0139</t>
        </is>
      </c>
      <c r="C995" s="3" t="n">
        <v>46108</v>
      </c>
      <c r="D995" s="3" t="n">
        <v>46114</v>
      </c>
      <c r="E995" s="3" t="n">
        <v>46114</v>
      </c>
      <c r="F995" t="inlineStr">
        <is>
          <t>Hyderabad</t>
        </is>
      </c>
      <c r="G995" t="inlineStr">
        <is>
          <t>Hyderabad</t>
        </is>
      </c>
      <c r="H995" t="inlineStr">
        <is>
          <t>BlueDart</t>
        </is>
      </c>
      <c r="I995" t="inlineStr">
        <is>
          <t>Van</t>
        </is>
      </c>
      <c r="J995" t="inlineStr">
        <is>
          <t>Critical</t>
        </is>
      </c>
      <c r="K995" t="inlineStr">
        <is>
          <t>Delivered</t>
        </is>
      </c>
      <c r="L995" t="n">
        <v>399.06</v>
      </c>
      <c r="M995" t="n">
        <v>2317</v>
      </c>
      <c r="N995" t="n">
        <v>18.42</v>
      </c>
      <c r="O995" t="n">
        <v>1353.65</v>
      </c>
      <c r="P995" t="n">
        <v>899.22</v>
      </c>
      <c r="Q995">
        <f>ROUND(L995*M995*N995/1000+O995+P995,2)</f>
        <v/>
      </c>
      <c r="R995" t="inlineStr">
        <is>
          <t>Yes</t>
        </is>
      </c>
      <c r="S995">
        <f>IF(OR(E995="",D995=""),"",MAX(0,E995-D995))</f>
        <v/>
      </c>
      <c r="T995" t="inlineStr">
        <is>
          <t>No</t>
        </is>
      </c>
      <c r="U995" t="n">
        <v>4</v>
      </c>
      <c r="V995" t="inlineStr">
        <is>
          <t>Paid</t>
        </is>
      </c>
      <c r="W995" t="n">
        <v>2</v>
      </c>
      <c r="X995" t="inlineStr">
        <is>
          <t>None</t>
        </is>
      </c>
    </row>
    <row r="996">
      <c r="A996" t="inlineStr">
        <is>
          <t>ORD-2026-00995</t>
        </is>
      </c>
      <c r="B996" t="inlineStr">
        <is>
          <t>CUST-0076</t>
        </is>
      </c>
      <c r="C996" s="3" t="n">
        <v>46044</v>
      </c>
      <c r="D996" s="3" t="n">
        <v>46046</v>
      </c>
      <c r="E996" s="3" t="n">
        <v>46046</v>
      </c>
      <c r="F996" t="inlineStr">
        <is>
          <t>Jaipur</t>
        </is>
      </c>
      <c r="G996" t="inlineStr">
        <is>
          <t>Chennai</t>
        </is>
      </c>
      <c r="H996" t="inlineStr">
        <is>
          <t>BlueDart</t>
        </is>
      </c>
      <c r="I996" t="inlineStr">
        <is>
          <t>Truck</t>
        </is>
      </c>
      <c r="J996" t="inlineStr">
        <is>
          <t>Normal</t>
        </is>
      </c>
      <c r="K996" t="inlineStr">
        <is>
          <t>Delivered</t>
        </is>
      </c>
      <c r="L996" t="n">
        <v>970.0599999999999</v>
      </c>
      <c r="M996" t="n">
        <v>2466</v>
      </c>
      <c r="N996" t="n">
        <v>64.22</v>
      </c>
      <c r="O996" t="n">
        <v>4784.77</v>
      </c>
      <c r="P996" t="n">
        <v>506.23</v>
      </c>
      <c r="Q996">
        <f>ROUND(L996*M996*N996/1000+O996+P996,2)</f>
        <v/>
      </c>
      <c r="R996" t="inlineStr">
        <is>
          <t>Yes</t>
        </is>
      </c>
      <c r="S996">
        <f>IF(OR(E996="",D996=""),"",MAX(0,E996-D996))</f>
        <v/>
      </c>
      <c r="T996" t="inlineStr">
        <is>
          <t>Yes</t>
        </is>
      </c>
      <c r="U996" t="n">
        <v>52</v>
      </c>
      <c r="V996" t="inlineStr">
        <is>
          <t>COD</t>
        </is>
      </c>
      <c r="W996" t="n">
        <v>2</v>
      </c>
      <c r="X996" t="inlineStr">
        <is>
          <t>Vehicle Breakdown</t>
        </is>
      </c>
    </row>
    <row r="997">
      <c r="A997" t="inlineStr">
        <is>
          <t>ORD-2026-00996</t>
        </is>
      </c>
      <c r="B997" t="inlineStr">
        <is>
          <t>CUST-0231</t>
        </is>
      </c>
      <c r="C997" s="3" t="n">
        <v>46232</v>
      </c>
      <c r="D997" s="3" t="n">
        <v>46237</v>
      </c>
      <c r="E997" s="3" t="n">
        <v>46238</v>
      </c>
      <c r="F997" t="inlineStr">
        <is>
          <t>Hyderabad</t>
        </is>
      </c>
      <c r="G997" t="inlineStr">
        <is>
          <t>Kolkata</t>
        </is>
      </c>
      <c r="H997" t="inlineStr">
        <is>
          <t>FedEx</t>
        </is>
      </c>
      <c r="I997" t="inlineStr">
        <is>
          <t>Van</t>
        </is>
      </c>
      <c r="J997" t="inlineStr">
        <is>
          <t>Low</t>
        </is>
      </c>
      <c r="K997" t="inlineStr">
        <is>
          <t>Delivered</t>
        </is>
      </c>
      <c r="L997" t="n">
        <v>443.23</v>
      </c>
      <c r="M997" t="n">
        <v>7</v>
      </c>
      <c r="N997" t="n">
        <v>58.9</v>
      </c>
      <c r="O997" t="n">
        <v>12.79</v>
      </c>
      <c r="P997" t="n">
        <v>289.72</v>
      </c>
      <c r="Q997">
        <f>ROUND(L997*M997*N997/1000+O997+P997,2)</f>
        <v/>
      </c>
      <c r="R997" t="inlineStr">
        <is>
          <t>No</t>
        </is>
      </c>
      <c r="S997">
        <f>IF(OR(E997="",D997=""),"",MAX(0,E997-D997))</f>
        <v/>
      </c>
      <c r="T997" t="inlineStr">
        <is>
          <t>Yes</t>
        </is>
      </c>
      <c r="U997" t="n">
        <v>54</v>
      </c>
      <c r="V997" t="inlineStr">
        <is>
          <t>Paid</t>
        </is>
      </c>
      <c r="W997" t="n">
        <v>1</v>
      </c>
      <c r="X997" t="inlineStr">
        <is>
          <t>Vehicle Breakdown</t>
        </is>
      </c>
    </row>
    <row r="998">
      <c r="A998" t="inlineStr">
        <is>
          <t>ORD-2026-00997</t>
        </is>
      </c>
      <c r="B998" t="inlineStr">
        <is>
          <t>CUST-0067</t>
        </is>
      </c>
      <c r="C998" s="3" t="n">
        <v>46051</v>
      </c>
      <c r="D998" s="3" t="n">
        <v>46057</v>
      </c>
      <c r="E998" s="3" t="n">
        <v>46057</v>
      </c>
      <c r="F998" t="inlineStr">
        <is>
          <t>Jaipur</t>
        </is>
      </c>
      <c r="G998" t="inlineStr">
        <is>
          <t>Kolkata</t>
        </is>
      </c>
      <c r="H998" t="inlineStr">
        <is>
          <t>FedEx</t>
        </is>
      </c>
      <c r="I998" t="inlineStr">
        <is>
          <t>Van</t>
        </is>
      </c>
      <c r="J998" t="inlineStr">
        <is>
          <t>Critical</t>
        </is>
      </c>
      <c r="K998" t="inlineStr">
        <is>
          <t>Delivered</t>
        </is>
      </c>
      <c r="L998" t="n">
        <v>458.14</v>
      </c>
      <c r="M998" t="n">
        <v>1426</v>
      </c>
      <c r="N998" t="n">
        <v>63.1</v>
      </c>
      <c r="O998" t="n">
        <v>2856</v>
      </c>
      <c r="P998" t="n">
        <v>1035.86</v>
      </c>
      <c r="Q998">
        <f>ROUND(L998*M998*N998/1000+O998+P998,2)</f>
        <v/>
      </c>
      <c r="R998" t="inlineStr">
        <is>
          <t>Yes</t>
        </is>
      </c>
      <c r="S998">
        <f>IF(OR(E998="",D998=""),"",MAX(0,E998-D998))</f>
        <v/>
      </c>
      <c r="T998" t="inlineStr">
        <is>
          <t>No</t>
        </is>
      </c>
      <c r="U998" t="n">
        <v>6</v>
      </c>
      <c r="V998" t="inlineStr">
        <is>
          <t>Failed</t>
        </is>
      </c>
      <c r="W998" t="n">
        <v>1</v>
      </c>
      <c r="X998" t="inlineStr">
        <is>
          <t>Customer Unavailable</t>
        </is>
      </c>
    </row>
    <row r="999">
      <c r="A999" t="inlineStr">
        <is>
          <t>ORD-2026-00998</t>
        </is>
      </c>
      <c r="B999" t="inlineStr">
        <is>
          <t>CUST-0008</t>
        </is>
      </c>
      <c r="C999" s="3" t="n">
        <v>46136</v>
      </c>
      <c r="D999" s="3" t="n">
        <v>46140</v>
      </c>
      <c r="E999" s="3" t="n">
        <v>46143</v>
      </c>
      <c r="F999" t="inlineStr">
        <is>
          <t>Bengaluru</t>
        </is>
      </c>
      <c r="G999" t="inlineStr">
        <is>
          <t>Mumbai</t>
        </is>
      </c>
      <c r="H999" t="inlineStr">
        <is>
          <t>BlueDart</t>
        </is>
      </c>
      <c r="I999" t="inlineStr">
        <is>
          <t>Van</t>
        </is>
      </c>
      <c r="J999" t="inlineStr">
        <is>
          <t>Critical</t>
        </is>
      </c>
      <c r="K999" t="inlineStr">
        <is>
          <t>Delivered</t>
        </is>
      </c>
      <c r="L999" t="n">
        <v>1377.09</v>
      </c>
      <c r="M999" t="n">
        <v>1454</v>
      </c>
      <c r="N999" t="n">
        <v>48.37</v>
      </c>
      <c r="O999" t="n">
        <v>6333.38</v>
      </c>
      <c r="P999" t="n">
        <v>561.91</v>
      </c>
      <c r="Q999">
        <f>ROUND(L999*M999*N999/1000+O999+P999,2)</f>
        <v/>
      </c>
      <c r="R999" t="inlineStr">
        <is>
          <t>No</t>
        </is>
      </c>
      <c r="S999">
        <f>IF(OR(E999="",D999=""),"",MAX(0,E999-D999))</f>
        <v/>
      </c>
      <c r="T999" t="inlineStr">
        <is>
          <t>No</t>
        </is>
      </c>
      <c r="U999" t="n">
        <v>80</v>
      </c>
      <c r="V999" t="inlineStr">
        <is>
          <t>Pending</t>
        </is>
      </c>
      <c r="W999" t="n">
        <v>3</v>
      </c>
      <c r="X999" t="inlineStr">
        <is>
          <t>Customer Unavailable</t>
        </is>
      </c>
    </row>
    <row r="1000">
      <c r="A1000" t="inlineStr">
        <is>
          <t>ORD-2026-00999</t>
        </is>
      </c>
      <c r="B1000" t="inlineStr">
        <is>
          <t>CUST-0110</t>
        </is>
      </c>
      <c r="C1000" s="3" t="n">
        <v>46207</v>
      </c>
      <c r="D1000" s="3" t="n">
        <v>46208</v>
      </c>
      <c r="E1000" s="3" t="n">
        <v>46208</v>
      </c>
      <c r="F1000" t="inlineStr">
        <is>
          <t>Ahmedabad</t>
        </is>
      </c>
      <c r="G1000" t="inlineStr">
        <is>
          <t>Surat</t>
        </is>
      </c>
      <c r="H1000" t="inlineStr">
        <is>
          <t>DTDC</t>
        </is>
      </c>
      <c r="I1000" t="inlineStr">
        <is>
          <t>Refrigerated Truck</t>
        </is>
      </c>
      <c r="J1000" t="inlineStr">
        <is>
          <t>Low</t>
        </is>
      </c>
      <c r="K1000" t="inlineStr">
        <is>
          <t>Delivered</t>
        </is>
      </c>
      <c r="L1000" t="n">
        <v>296.73</v>
      </c>
      <c r="M1000" t="n">
        <v>1141</v>
      </c>
      <c r="N1000" t="n">
        <v>27.85</v>
      </c>
      <c r="O1000" t="n">
        <v>813.37</v>
      </c>
      <c r="P1000" t="n">
        <v>1319.86</v>
      </c>
      <c r="Q1000">
        <f>ROUND(L1000*M1000*N1000/1000+O1000+P1000,2)</f>
        <v/>
      </c>
      <c r="R1000" t="inlineStr">
        <is>
          <t>Yes</t>
        </is>
      </c>
      <c r="S1000">
        <f>IF(OR(E1000="",D1000=""),"",MAX(0,E1000-D1000))</f>
        <v/>
      </c>
      <c r="T1000" t="inlineStr">
        <is>
          <t>Yes</t>
        </is>
      </c>
      <c r="U1000" t="n">
        <v>70</v>
      </c>
      <c r="V1000" t="inlineStr">
        <is>
          <t>COD</t>
        </is>
      </c>
      <c r="W1000" t="n">
        <v>5</v>
      </c>
      <c r="X1000" t="inlineStr">
        <is>
          <t>None</t>
        </is>
      </c>
    </row>
    <row r="1001">
      <c r="A1001" t="inlineStr">
        <is>
          <t>ORD-2026-01000</t>
        </is>
      </c>
      <c r="B1001" t="inlineStr">
        <is>
          <t>CUST-0096</t>
        </is>
      </c>
      <c r="C1001" s="3" t="n">
        <v>46079</v>
      </c>
      <c r="D1001" s="3" t="n">
        <v>46085</v>
      </c>
      <c r="E1001" s="3" t="n">
        <v>46088</v>
      </c>
      <c r="F1001" t="inlineStr">
        <is>
          <t>Kolkata</t>
        </is>
      </c>
      <c r="G1001" t="inlineStr">
        <is>
          <t>Hyderabad</t>
        </is>
      </c>
      <c r="H1001" t="inlineStr">
        <is>
          <t>DHL</t>
        </is>
      </c>
      <c r="I1001" t="inlineStr">
        <is>
          <t>Van</t>
        </is>
      </c>
      <c r="J1001" t="inlineStr">
        <is>
          <t>High</t>
        </is>
      </c>
      <c r="K1001" t="inlineStr">
        <is>
          <t>Delivered</t>
        </is>
      </c>
      <c r="L1001" t="n">
        <v>436.07</v>
      </c>
      <c r="M1001" t="n">
        <v>2239</v>
      </c>
      <c r="N1001" t="n">
        <v>28.47</v>
      </c>
      <c r="O1001" t="n">
        <v>2101.39</v>
      </c>
      <c r="P1001" t="n">
        <v>380.57</v>
      </c>
      <c r="Q1001">
        <f>ROUND(L1001*M1001*N1001/1000+O1001+P1001,2)</f>
        <v/>
      </c>
      <c r="R1001" t="inlineStr">
        <is>
          <t>No</t>
        </is>
      </c>
      <c r="S1001">
        <f>IF(OR(E1001="",D1001=""),"",MAX(0,E1001-D1001))</f>
        <v/>
      </c>
      <c r="T1001" t="inlineStr">
        <is>
          <t>No</t>
        </is>
      </c>
      <c r="U1001" t="n">
        <v>10</v>
      </c>
      <c r="V1001" t="inlineStr">
        <is>
          <t>Paid</t>
        </is>
      </c>
      <c r="W1001" t="n">
        <v>1</v>
      </c>
      <c r="X1001" t="inlineStr">
        <is>
          <t>Weather</t>
        </is>
      </c>
    </row>
  </sheetData>
  <autoFilter ref="A1:Y1001"/>
  <conditionalFormatting sqref="S2:S1001">
    <cfRule type="colorScale" priority="1">
      <colorScale>
        <cfvo type="min"/>
        <cfvo type="max"/>
        <color rgb="0063BE7B"/>
        <color rgb="00F8696B"/>
      </colorScale>
    </cfRule>
  </conditionalFormatting>
  <dataValidations count="3">
    <dataValidation sqref="J2:J2001" showDropDown="0" showInputMessage="0" showErrorMessage="0" allowBlank="1" type="list">
      <formula1>"Low,Normal,High,Critical"</formula1>
    </dataValidation>
    <dataValidation sqref="K2:K2001" showDropDown="0" showInputMessage="0" showErrorMessage="0" allowBlank="1" type="list">
      <formula1>"Booked,In Transit,Delivered,Delayed,Cancelled,Exception"</formula1>
    </dataValidation>
    <dataValidation sqref="V2:V2001" showDropDown="0" showInputMessage="0" showErrorMessage="0" allowBlank="1" type="list">
      <formula1>"Paid,Pending,COD,Failed"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2" customWidth="1" min="5" max="5"/>
  </cols>
  <sheetData>
    <row r="1">
      <c r="A1" s="4" t="inlineStr">
        <is>
          <t>Logistics_Status</t>
        </is>
      </c>
      <c r="B1" s="4" t="inlineStr">
        <is>
          <t>Logistics_Priority</t>
        </is>
      </c>
      <c r="C1" s="4" t="inlineStr">
        <is>
          <t>Medical_Visit_Type</t>
        </is>
      </c>
      <c r="D1" s="4" t="inlineStr">
        <is>
          <t>HR_Employment_Type</t>
        </is>
      </c>
      <c r="E1" s="4" t="inlineStr">
        <is>
          <t>HR_Employment_Status</t>
        </is>
      </c>
    </row>
    <row r="2">
      <c r="A2" t="inlineStr">
        <is>
          <t>Booked</t>
        </is>
      </c>
      <c r="B2" t="inlineStr">
        <is>
          <t>Low</t>
        </is>
      </c>
      <c r="C2" t="inlineStr">
        <is>
          <t>OPD</t>
        </is>
      </c>
      <c r="D2" t="inlineStr">
        <is>
          <t>Full Time</t>
        </is>
      </c>
      <c r="E2" t="inlineStr">
        <is>
          <t>Active</t>
        </is>
      </c>
    </row>
    <row r="3">
      <c r="A3" t="inlineStr">
        <is>
          <t>In Transit</t>
        </is>
      </c>
      <c r="B3" t="inlineStr">
        <is>
          <t>Normal</t>
        </is>
      </c>
      <c r="C3" t="inlineStr">
        <is>
          <t>Emergency</t>
        </is>
      </c>
      <c r="D3" t="inlineStr">
        <is>
          <t>Part Time</t>
        </is>
      </c>
      <c r="E3" t="inlineStr">
        <is>
          <t>On Leave</t>
        </is>
      </c>
    </row>
    <row r="4">
      <c r="A4" t="inlineStr">
        <is>
          <t>Delivered</t>
        </is>
      </c>
      <c r="B4" t="inlineStr">
        <is>
          <t>High</t>
        </is>
      </c>
      <c r="C4" t="inlineStr">
        <is>
          <t>Inpatient</t>
        </is>
      </c>
      <c r="D4" t="inlineStr">
        <is>
          <t>Contract</t>
        </is>
      </c>
      <c r="E4" t="inlineStr">
        <is>
          <t>Probation</t>
        </is>
      </c>
    </row>
    <row r="5">
      <c r="A5" t="inlineStr">
        <is>
          <t>Delayed</t>
        </is>
      </c>
      <c r="B5" t="inlineStr">
        <is>
          <t>Critical</t>
        </is>
      </c>
      <c r="C5" t="inlineStr">
        <is>
          <t>Follow-up</t>
        </is>
      </c>
      <c r="D5" t="inlineStr">
        <is>
          <t>Intern</t>
        </is>
      </c>
      <c r="E5" t="inlineStr">
        <is>
          <t>Resigned</t>
        </is>
      </c>
    </row>
    <row r="6">
      <c r="A6" t="inlineStr">
        <is>
          <t>Cancelled</t>
        </is>
      </c>
      <c r="C6" t="inlineStr">
        <is>
          <t>Telemedicine</t>
        </is>
      </c>
      <c r="E6" t="inlineStr">
        <is>
          <t>Terminated</t>
        </is>
      </c>
    </row>
    <row r="7">
      <c r="A7" t="inlineStr">
        <is>
          <t>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2026-08-17T05:13:55Z</dcterms:created>
  <dcterms:modified xmlns:dcterms="http://purl.org/dc/terms/" xmlns:xsi="http://www.w3.org/2001/XMLSchema-instance" xsi:type="dcterms:W3CDTF">2026-08-17T05:27:52Z</dcterms:modified>
</cp:coreProperties>
</file>